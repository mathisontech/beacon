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VP Featur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<sst xmlns="http://schemas.openxmlformats.org/spreadsheetml/2006/main" count="316" uniqueCount="161">
  <si>
    <t xml:space="preserve">Beacon MVP Feature List</t>
  </si>
  <si>
    <t xml:space="preserve">Phase 1 — Core features needed for a usable first version</t>
  </si>
  <si>
    <t xml:space="preserve">#</t>
  </si>
  <si>
    <t xml:space="preserve">Feature</t>
  </si>
  <si>
    <t xml:space="preserve">Description</t>
  </si>
  <si>
    <t xml:space="preserve">Category</t>
  </si>
  <si>
    <t xml:space="preserve">Status</t>
  </si>
  <si>
    <t xml:space="preserve">Priority</t>
  </si>
  <si>
    <t xml:space="preserve">Map &amp; Visualization</t>
  </si>
  <si>
    <t xml:space="preserve">2D Base Map</t>
  </si>
  <si>
    <t xml:space="preserve">Interactive vector tile map with custom styling, building footprints, roads, water, labels</t>
  </si>
  <si>
    <t xml:space="preserve">Map</t>
  </si>
  <si>
    <t xml:space="preserve">Partial</t>
  </si>
  <si>
    <t xml:space="preserve">P0</t>
  </si>
  <si>
    <t xml:space="preserve">3D Terrain View</t>
  </si>
  <si>
    <t xml:space="preserve">CesiumJS globe with clay/terrain and Google Photorealistic tiles</t>
  </si>
  <si>
    <t xml:space="preserve">Satellite 2D View</t>
  </si>
  <si>
    <t xml:space="preserve">Satellite imagery base layer with toggle</t>
  </si>
  <si>
    <t xml:space="preserve">Built</t>
  </si>
  <si>
    <t xml:space="preserve">Self-Hosted Tiles (PMTiles + R2)</t>
  </si>
  <si>
    <t xml:space="preserve">Vector tiles on Cloudflare R2 for full control, offline caching, zero egress</t>
  </si>
  <si>
    <t xml:space="preserve">Planned</t>
  </si>
  <si>
    <t xml:space="preserve">Map Layer Toggle Panel</t>
  </si>
  <si>
    <t xml:space="preserve">UI to turn hazard, infrastructure, and data layers on/off</t>
  </si>
  <si>
    <t xml:space="preserve">Zoom / Rotate / Tilt Controls</t>
  </si>
  <si>
    <t xml:space="preserve">On-screen controls for 2D and 3D views</t>
  </si>
  <si>
    <t xml:space="preserve">P1</t>
  </si>
  <si>
    <t xml:space="preserve">Device Tile Caching</t>
  </si>
  <si>
    <t xml:space="preserve">Cache vector tiles on user devices for offline use during emergencies</t>
  </si>
  <si>
    <t xml:space="preserve">New</t>
  </si>
  <si>
    <t xml:space="preserve">Hazard Data Ingestion</t>
  </si>
  <si>
    <t xml:space="preserve">NWS Alert Feed</t>
  </si>
  <si>
    <t xml:space="preserve">Ingest NOAA/NWS watches, warnings, advisories with polygons</t>
  </si>
  <si>
    <t xml:space="preserve">Hazard</t>
  </si>
  <si>
    <t xml:space="preserve">Active Fire Layer (NIFC/FIRMS)</t>
  </si>
  <si>
    <t xml:space="preserve">Real-time fire perimeters and satellite hotspot detections</t>
  </si>
  <si>
    <t xml:space="preserve">Fire Timeline Playback</t>
  </si>
  <si>
    <t xml:space="preserve">Scrub through fire perimeter history over time</t>
  </si>
  <si>
    <t xml:space="preserve">USGS Earthquake Feed</t>
  </si>
  <si>
    <t xml:space="preserve">Real-time earthquake events with ShakeMap overlay</t>
  </si>
  <si>
    <t xml:space="preserve">MRMS Precipitation Radar</t>
  </si>
  <si>
    <t xml:space="preserve">Multi-Radar Multi-Sensor rainfall at 1km/2min for flash flood</t>
  </si>
  <si>
    <t xml:space="preserve">Storm Surge (SLOSH) Overlay</t>
  </si>
  <si>
    <t xml:space="preserve">NOAA pre-computed surge basins by hurricane category</t>
  </si>
  <si>
    <t xml:space="preserve">Tornado Radar (NEXRAD)</t>
  </si>
  <si>
    <t xml:space="preserve">Reflectivity and velocity data for rotation detection</t>
  </si>
  <si>
    <t xml:space="preserve">Hurricane Track (NHC)</t>
  </si>
  <si>
    <t xml:space="preserve">Official cone of uncertainty + ensemble spaghetti models</t>
  </si>
  <si>
    <t xml:space="preserve">Tsunami Travel Time</t>
  </si>
  <si>
    <t xml:space="preserve">NOAA PTWC wave propagation models</t>
  </si>
  <si>
    <t xml:space="preserve">P2</t>
  </si>
  <si>
    <t xml:space="preserve">AI Hazard Modeling</t>
  </si>
  <si>
    <t xml:space="preserve">Fire Spread Prediction</t>
  </si>
  <si>
    <t xml:space="preserve">AI model using wind + slope + fuel to predict fire movement</t>
  </si>
  <si>
    <t xml:space="preserve">AI</t>
  </si>
  <si>
    <t xml:space="preserve">Flash Flood Inundation</t>
  </si>
  <si>
    <t xml:space="preserve">Rainfall-to-runoff modeling with time-to-impact per location</t>
  </si>
  <si>
    <t xml:space="preserve">Storm Surge Interpolation</t>
  </si>
  <si>
    <t xml:space="preserve">Real-time surge extent from actual forecast track, not just category</t>
  </si>
  <si>
    <t xml:space="preserve">Earthquake Damage Probability</t>
  </si>
  <si>
    <t xml:space="preserve">Shaking intensity + building type = damage score per structure</t>
  </si>
  <si>
    <t xml:space="preserve">Compound Hazard Mapping</t>
  </si>
  <si>
    <t xml:space="preserve">Wind + surge + rain overlaid simultaneously for hurricanes</t>
  </si>
  <si>
    <t xml:space="preserve">Risk Determination &amp; People</t>
  </si>
  <si>
    <t xml:space="preserve">User GPS Location Tracking</t>
  </si>
  <si>
    <t xml:space="preserve">Beacon app reports lat/lng/altitude in real time</t>
  </si>
  <si>
    <t xml:space="preserve">People</t>
  </si>
  <si>
    <t xml:space="preserve">Barometric Floor Estimation</t>
  </si>
  <si>
    <t xml:space="preserve">Device pressure sensor to estimate what floor a person is on</t>
  </si>
  <si>
    <t xml:space="preserve">Individual Risk Scoring</t>
  </si>
  <si>
    <t xml:space="preserve">Person location + floor + building type + hazard intensity = risk score</t>
  </si>
  <si>
    <t xml:space="preserve">Population Exposure Estimate</t>
  </si>
  <si>
    <t xml:space="preserve">Census block density to estimate affected count when individuals unknown</t>
  </si>
  <si>
    <t xml:space="preserve">Vulnerable Population Flagging</t>
  </si>
  <si>
    <t xml:space="preserve">Elderly, disabled, carless, non-English identified from Census/SVI</t>
  </si>
  <si>
    <t xml:space="preserve">User Status Reporting</t>
  </si>
  <si>
    <t xml:space="preserve">Self-reported safe / trapped / injured / evacuating</t>
  </si>
  <si>
    <t xml:space="preserve">Sighting Reports</t>
  </si>
  <si>
    <t xml:space="preserve">Users report hazard observations (flood, fire, damage) with location</t>
  </si>
  <si>
    <t xml:space="preserve">Alerts &amp; Communication</t>
  </si>
  <si>
    <t xml:space="preserve">Push Notifications</t>
  </si>
  <si>
    <t xml:space="preserve">Targeted alerts to users inside hazard zones</t>
  </si>
  <si>
    <t xml:space="preserve">Comms</t>
  </si>
  <si>
    <t xml:space="preserve">Alert Geofencing</t>
  </si>
  <si>
    <t xml:space="preserve">Draw polygon, everyone inside gets the message</t>
  </si>
  <si>
    <t xml:space="preserve">Multi-Language Alerts</t>
  </si>
  <si>
    <t xml:space="preserve">Auto-translate alerts based on user language preference</t>
  </si>
  <si>
    <t xml:space="preserve">Mesh Network Relay</t>
  </si>
  <si>
    <t xml:space="preserve">Bluetooth/Wi-Fi mesh to relay alerts when cell service is down</t>
  </si>
  <si>
    <t xml:space="preserve">Community Message Feed</t>
  </si>
  <si>
    <t xml:space="preserve">Public message stream for affected area</t>
  </si>
  <si>
    <t xml:space="preserve">Evacuation &amp; Navigation</t>
  </si>
  <si>
    <t xml:space="preserve">Personalized Evacuation Route</t>
  </si>
  <si>
    <t xml:space="preserve">Optimal safe path out of hazard zone per person</t>
  </si>
  <si>
    <t xml:space="preserve">Navigation</t>
  </si>
  <si>
    <t xml:space="preserve">Road Flood Prediction</t>
  </si>
  <si>
    <t xml:space="preserve">DEM + road elevation to flag roads that will flood before they do</t>
  </si>
  <si>
    <t xml:space="preserve">Shelter Routing</t>
  </si>
  <si>
    <t xml:space="preserve">Route to nearest open shelter with capacity, ADA, pet-friendly filters</t>
  </si>
  <si>
    <t xml:space="preserve">Evacuation Clearance Time</t>
  </si>
  <si>
    <t xml:space="preserve">Estimate how long to evacuate a zone based on population + road capacity</t>
  </si>
  <si>
    <t xml:space="preserve">Passable Terrain Analysis</t>
  </si>
  <si>
    <t xml:space="preserve">Identify which routes remain safe as hazard progresses</t>
  </si>
  <si>
    <t xml:space="preserve">Admin &amp; Operations</t>
  </si>
  <si>
    <t xml:space="preserve">Admin Dashboard</t>
  </si>
  <si>
    <t xml:space="preserve">Central control panel for all modules and data</t>
  </si>
  <si>
    <t xml:space="preserve">Admin</t>
  </si>
  <si>
    <t xml:space="preserve">Employee Management</t>
  </si>
  <si>
    <t xml:space="preserve">Staff accounts with role-based access control</t>
  </si>
  <si>
    <t xml:space="preserve">Client Management</t>
  </si>
  <si>
    <t xml:space="preserve">Client org CRUD and employee assignment</t>
  </si>
  <si>
    <t xml:space="preserve">Activity Audit Log</t>
  </si>
  <si>
    <t xml:space="preserve">Track all admin actions with timestamps</t>
  </si>
  <si>
    <t xml:space="preserve">Event Lifecycle Management</t>
  </si>
  <si>
    <t xml:space="preserve">Create, escalate, monitor, and close hazard events</t>
  </si>
  <si>
    <t xml:space="preserve">Resource Dispatch</t>
  </si>
  <si>
    <t xml:space="preserve">Assign teams and resources to locations during an event</t>
  </si>
  <si>
    <t xml:space="preserve">Post-Event Damage Assessment</t>
  </si>
  <si>
    <t xml:space="preserve">Collect and map damage reports after event passes</t>
  </si>
  <si>
    <t xml:space="preserve">Data Platform</t>
  </si>
  <si>
    <t xml:space="preserve">Atlas Dataset Management</t>
  </si>
  <si>
    <t xml:space="preserve">Upload, tag, and manage geospatial datasets</t>
  </si>
  <si>
    <t xml:space="preserve">Data</t>
  </si>
  <si>
    <t xml:space="preserve">Google Drive Integration</t>
  </si>
  <si>
    <t xml:space="preserve">Browse, upload, and link files from Google Drive</t>
  </si>
  <si>
    <t xml:space="preserve">Building Footprint Layer</t>
  </si>
  <si>
    <t xml:space="preserve">OSM + Microsoft 1.3B buildings with height/type attributes</t>
  </si>
  <si>
    <t xml:space="preserve">Critical Infrastructure Layer</t>
  </si>
  <si>
    <t xml:space="preserve">HIFLD hospitals, schools, shelters, power, bridges</t>
  </si>
  <si>
    <t xml:space="preserve">Census Demographics Overlay</t>
  </si>
  <si>
    <t xml:space="preserve">Block-level population, age, disability, vehicle access</t>
  </si>
  <si>
    <t xml:space="preserve">Elevation / DEM Layer</t>
  </si>
  <si>
    <t xml:space="preserve">USGS 3DEP for flood modeling, terrain analysis</t>
  </si>
  <si>
    <t xml:space="preserve">User App &amp; Auth</t>
  </si>
  <si>
    <t xml:space="preserve">Admin Login (Credentials + 2FA)</t>
  </si>
  <si>
    <t xml:space="preserve">Secure employee login with two-factor support</t>
  </si>
  <si>
    <t xml:space="preserve">Auth</t>
  </si>
  <si>
    <t xml:space="preserve">Public User Registration</t>
  </si>
  <si>
    <t xml:space="preserve">Civilian sign-up for alerts and evacuation guidance</t>
  </si>
  <si>
    <t xml:space="preserve">User Location Permissions</t>
  </si>
  <si>
    <t xml:space="preserve">Opt-in GPS and barometric sharing with privacy controls</t>
  </si>
  <si>
    <t xml:space="preserve">Mobile-Responsive Map</t>
  </si>
  <si>
    <t xml:space="preserve">Full map experience on phone screens</t>
  </si>
  <si>
    <t xml:space="preserve">App</t>
  </si>
  <si>
    <t xml:space="preserve">Offline Mode</t>
  </si>
  <si>
    <t xml:space="preserve">Cached tiles + last-known alerts when connectivity drops</t>
  </si>
  <si>
    <t xml:space="preserve">MVP Summary</t>
  </si>
  <si>
    <t xml:space="preserve">Metric</t>
  </si>
  <si>
    <t xml:space="preserve">Count</t>
  </si>
  <si>
    <t xml:space="preserve">Notes</t>
  </si>
  <si>
    <t xml:space="preserve">Total Features</t>
  </si>
  <si>
    <t xml:space="preserve">Already functional</t>
  </si>
  <si>
    <t xml:space="preserve">Started, needs finishing</t>
  </si>
  <si>
    <t xml:space="preserve">Designed, not coded</t>
  </si>
  <si>
    <t xml:space="preserve">Not started</t>
  </si>
  <si>
    <t xml:space="preserve">P0 (Must Have)</t>
  </si>
  <si>
    <t xml:space="preserve">Required for launch</t>
  </si>
  <si>
    <t xml:space="preserve">P1 (Should Have)</t>
  </si>
  <si>
    <t xml:space="preserve">Important but can follow fast</t>
  </si>
  <si>
    <t xml:space="preserve">P2 (Nice to Have)</t>
  </si>
  <si>
    <t xml:space="preserve">Defer to Phase 2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</si>
</sst>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F72"/>
      <name val="Arial"/>
      <family val="0"/>
      <charset val="1"/>
    </font>
    <font>
      <i val="true"/>
      <sz val="10"/>
      <color rgb="FF7F8C8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B4F72"/>
      <name val="Arial"/>
      <family val="0"/>
      <charset val="1"/>
    </font>
    <font>
      <sz val="10"/>
      <color rgb="FF2C3E50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7F8C8D"/>
      <name val="Arial"/>
      <family val="0"/>
      <charset val="1"/>
    </font>
    <font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4F72"/>
        <bgColor rgb="FF2C3E50"/>
      </patternFill>
    </fill>
    <fill>
      <patternFill patternType="solid">
        <fgColor rgb="FFD4E6F1"/>
        <bgColor rgb="FFE8E8E8"/>
      </patternFill>
    </fill>
    <fill>
      <patternFill patternType="solid">
        <fgColor rgb="FFF39C12"/>
        <bgColor rgb="FFE67E22"/>
      </patternFill>
    </fill>
    <fill>
      <patternFill patternType="solid">
        <fgColor rgb="FF27AE60"/>
        <bgColor rgb="FF008080"/>
      </patternFill>
    </fill>
    <fill>
      <patternFill patternType="solid">
        <fgColor rgb="FF3498DB"/>
        <bgColor rgb="FF33CCCC"/>
      </patternFill>
    </fill>
    <fill>
      <patternFill patternType="solid">
        <fgColor rgb="FFE8E8E8"/>
        <bgColor rgb="FFD4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F8C8D"/>
      <rgbColor rgb="FF9999FF"/>
      <rgbColor rgb="FF993366"/>
      <rgbColor rgb="FFE8E8E8"/>
      <rgbColor rgb="FFD4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98DB"/>
      <rgbColor rgb="FF33CCCC"/>
      <rgbColor rgb="FF99CC00"/>
      <rgbColor rgb="FFFFCC00"/>
      <rgbColor rgb="FFF39C12"/>
      <rgbColor rgb="FFE67E22"/>
      <rgbColor rgb="FF555555"/>
      <rgbColor rgb="FF969696"/>
      <rgbColor rgb="FF1B4F72"/>
      <rgbColor rgb="FF27AE60"/>
      <rgbColor rgb="FF003300"/>
      <rgbColor rgb="FF333300"/>
      <rgbColor rgb="FFC0392B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58"/>
    <col collapsed="false" customWidth="true" hidden="false" outlineLevel="0" max="4" min="4" style="0" width="18"/>
    <col collapsed="false" customWidth="true" hidden="false" outlineLevel="0" max="6" min="5" style="0" width="1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6" customFormat="false" ht="25.5" hidden="false" customHeight="true" outlineLevel="0" collapsed="false">
      <c r="A6" s="4" t="s">
        <v>8</v>
      </c>
      <c r="B6" s="4"/>
      <c r="C6" s="4"/>
      <c r="D6" s="4"/>
      <c r="E6" s="4"/>
      <c r="F6" s="4"/>
    </row>
    <row r="7" customFormat="false" ht="36" hidden="false" customHeight="true" outlineLevel="0" collapsed="false">
      <c r="A7" s="5" t="n">
        <v>1</v>
      </c>
      <c r="B7" s="6" t="s">
        <v>9</v>
      </c>
      <c r="C7" s="7" t="s">
        <v>10</v>
      </c>
      <c r="D7" s="5" t="s">
        <v>11</v>
      </c>
      <c r="E7" s="8" t="s">
        <v>12</v>
      </c>
      <c r="F7" s="9" t="s">
        <v>13</v>
      </c>
    </row>
    <row r="8" customFormat="false" ht="36" hidden="false" customHeight="true" outlineLevel="0" collapsed="false">
      <c r="A8" s="5" t="n">
        <v>2</v>
      </c>
      <c r="B8" s="6" t="s">
        <v>14</v>
      </c>
      <c r="C8" s="7" t="s">
        <v>15</v>
      </c>
      <c r="D8" s="5" t="s">
        <v>11</v>
      </c>
      <c r="E8" s="8" t="s">
        <v>12</v>
      </c>
      <c r="F8" s="9" t="s">
        <v>13</v>
      </c>
    </row>
    <row r="9" customFormat="false" ht="36" hidden="false" customHeight="true" outlineLevel="0" collapsed="false">
      <c r="A9" s="5" t="n">
        <v>3</v>
      </c>
      <c r="B9" s="6" t="s">
        <v>16</v>
      </c>
      <c r="C9" s="7" t="s">
        <v>17</v>
      </c>
      <c r="D9" s="5" t="s">
        <v>11</v>
      </c>
      <c r="E9" s="10" t="s">
        <v>18</v>
      </c>
      <c r="F9" s="9" t="s">
        <v>13</v>
      </c>
    </row>
    <row r="10" customFormat="false" ht="36" hidden="false" customHeight="true" outlineLevel="0" collapsed="false">
      <c r="A10" s="5" t="n">
        <v>4</v>
      </c>
      <c r="B10" s="6" t="s">
        <v>19</v>
      </c>
      <c r="C10" s="7" t="s">
        <v>20</v>
      </c>
      <c r="D10" s="5" t="s">
        <v>11</v>
      </c>
      <c r="E10" s="11" t="s">
        <v>21</v>
      </c>
      <c r="F10" s="9" t="s">
        <v>13</v>
      </c>
    </row>
    <row r="11" customFormat="false" ht="36" hidden="false" customHeight="true" outlineLevel="0" collapsed="false">
      <c r="A11" s="5" t="n">
        <v>5</v>
      </c>
      <c r="B11" s="6" t="s">
        <v>22</v>
      </c>
      <c r="C11" s="7" t="s">
        <v>23</v>
      </c>
      <c r="D11" s="5" t="s">
        <v>11</v>
      </c>
      <c r="E11" s="8" t="s">
        <v>12</v>
      </c>
      <c r="F11" s="9" t="s">
        <v>13</v>
      </c>
    </row>
    <row r="12" customFormat="false" ht="36" hidden="false" customHeight="true" outlineLevel="0" collapsed="false">
      <c r="A12" s="5" t="n">
        <v>6</v>
      </c>
      <c r="B12" s="6" t="s">
        <v>24</v>
      </c>
      <c r="C12" s="7" t="s">
        <v>25</v>
      </c>
      <c r="D12" s="5" t="s">
        <v>11</v>
      </c>
      <c r="E12" s="10" t="s">
        <v>18</v>
      </c>
      <c r="F12" s="12" t="s">
        <v>26</v>
      </c>
    </row>
    <row r="13" customFormat="false" ht="36" hidden="false" customHeight="true" outlineLevel="0" collapsed="false">
      <c r="A13" s="5" t="n">
        <v>7</v>
      </c>
      <c r="B13" s="6" t="s">
        <v>27</v>
      </c>
      <c r="C13" s="7" t="s">
        <v>28</v>
      </c>
      <c r="D13" s="5" t="s">
        <v>11</v>
      </c>
      <c r="E13" s="13" t="s">
        <v>29</v>
      </c>
      <c r="F13" s="9" t="s">
        <v>13</v>
      </c>
    </row>
    <row r="14" customFormat="false" ht="25.5" hidden="false" customHeight="true" outlineLevel="0" collapsed="false">
      <c r="A14" s="4" t="s">
        <v>30</v>
      </c>
      <c r="B14" s="4"/>
      <c r="C14" s="4"/>
      <c r="D14" s="4"/>
      <c r="E14" s="4"/>
      <c r="F14" s="4"/>
    </row>
    <row r="15" customFormat="false" ht="36" hidden="false" customHeight="true" outlineLevel="0" collapsed="false">
      <c r="A15" s="5" t="n">
        <v>8</v>
      </c>
      <c r="B15" s="6" t="s">
        <v>31</v>
      </c>
      <c r="C15" s="7" t="s">
        <v>32</v>
      </c>
      <c r="D15" s="5" t="s">
        <v>33</v>
      </c>
      <c r="E15" s="10" t="s">
        <v>18</v>
      </c>
      <c r="F15" s="9" t="s">
        <v>13</v>
      </c>
    </row>
    <row r="16" customFormat="false" ht="36" hidden="false" customHeight="true" outlineLevel="0" collapsed="false">
      <c r="A16" s="5" t="n">
        <v>9</v>
      </c>
      <c r="B16" s="6" t="s">
        <v>34</v>
      </c>
      <c r="C16" s="7" t="s">
        <v>35</v>
      </c>
      <c r="D16" s="5" t="s">
        <v>33</v>
      </c>
      <c r="E16" s="10" t="s">
        <v>18</v>
      </c>
      <c r="F16" s="9" t="s">
        <v>13</v>
      </c>
    </row>
    <row r="17" customFormat="false" ht="36" hidden="false" customHeight="true" outlineLevel="0" collapsed="false">
      <c r="A17" s="5" t="n">
        <v>10</v>
      </c>
      <c r="B17" s="6" t="s">
        <v>36</v>
      </c>
      <c r="C17" s="7" t="s">
        <v>37</v>
      </c>
      <c r="D17" s="5" t="s">
        <v>33</v>
      </c>
      <c r="E17" s="10" t="s">
        <v>18</v>
      </c>
      <c r="F17" s="12" t="s">
        <v>26</v>
      </c>
    </row>
    <row r="18" customFormat="false" ht="36" hidden="false" customHeight="true" outlineLevel="0" collapsed="false">
      <c r="A18" s="5" t="n">
        <v>11</v>
      </c>
      <c r="B18" s="6" t="s">
        <v>38</v>
      </c>
      <c r="C18" s="7" t="s">
        <v>39</v>
      </c>
      <c r="D18" s="5" t="s">
        <v>33</v>
      </c>
      <c r="E18" s="13" t="s">
        <v>29</v>
      </c>
      <c r="F18" s="9" t="s">
        <v>13</v>
      </c>
    </row>
    <row r="19" customFormat="false" ht="36" hidden="false" customHeight="true" outlineLevel="0" collapsed="false">
      <c r="A19" s="5" t="n">
        <v>12</v>
      </c>
      <c r="B19" s="6" t="s">
        <v>40</v>
      </c>
      <c r="C19" s="7" t="s">
        <v>41</v>
      </c>
      <c r="D19" s="5" t="s">
        <v>33</v>
      </c>
      <c r="E19" s="13" t="s">
        <v>29</v>
      </c>
      <c r="F19" s="9" t="s">
        <v>13</v>
      </c>
    </row>
    <row r="20" customFormat="false" ht="36" hidden="false" customHeight="true" outlineLevel="0" collapsed="false">
      <c r="A20" s="5" t="n">
        <v>13</v>
      </c>
      <c r="B20" s="6" t="s">
        <v>42</v>
      </c>
      <c r="C20" s="7" t="s">
        <v>43</v>
      </c>
      <c r="D20" s="5" t="s">
        <v>33</v>
      </c>
      <c r="E20" s="13" t="s">
        <v>29</v>
      </c>
      <c r="F20" s="12" t="s">
        <v>26</v>
      </c>
    </row>
    <row r="21" customFormat="false" ht="36" hidden="false" customHeight="true" outlineLevel="0" collapsed="false">
      <c r="A21" s="5" t="n">
        <v>14</v>
      </c>
      <c r="B21" s="6" t="s">
        <v>44</v>
      </c>
      <c r="C21" s="7" t="s">
        <v>45</v>
      </c>
      <c r="D21" s="5" t="s">
        <v>33</v>
      </c>
      <c r="E21" s="13" t="s">
        <v>29</v>
      </c>
      <c r="F21" s="12" t="s">
        <v>26</v>
      </c>
    </row>
    <row r="22" customFormat="false" ht="36" hidden="false" customHeight="true" outlineLevel="0" collapsed="false">
      <c r="A22" s="5" t="n">
        <v>15</v>
      </c>
      <c r="B22" s="6" t="s">
        <v>46</v>
      </c>
      <c r="C22" s="7" t="s">
        <v>47</v>
      </c>
      <c r="D22" s="5" t="s">
        <v>33</v>
      </c>
      <c r="E22" s="13" t="s">
        <v>29</v>
      </c>
      <c r="F22" s="12" t="s">
        <v>26</v>
      </c>
    </row>
    <row r="23" customFormat="false" ht="36" hidden="false" customHeight="true" outlineLevel="0" collapsed="false">
      <c r="A23" s="5" t="n">
        <v>16</v>
      </c>
      <c r="B23" s="6" t="s">
        <v>48</v>
      </c>
      <c r="C23" s="7" t="s">
        <v>49</v>
      </c>
      <c r="D23" s="5" t="s">
        <v>33</v>
      </c>
      <c r="E23" s="13" t="s">
        <v>29</v>
      </c>
      <c r="F23" s="14" t="s">
        <v>50</v>
      </c>
    </row>
    <row r="24" customFormat="false" ht="25.5" hidden="false" customHeight="true" outlineLevel="0" collapsed="false">
      <c r="A24" s="4" t="s">
        <v>51</v>
      </c>
      <c r="B24" s="4"/>
      <c r="C24" s="4"/>
      <c r="D24" s="4"/>
      <c r="E24" s="4"/>
      <c r="F24" s="4"/>
    </row>
    <row r="25" customFormat="false" ht="36" hidden="false" customHeight="true" outlineLevel="0" collapsed="false">
      <c r="A25" s="5" t="n">
        <v>17</v>
      </c>
      <c r="B25" s="6" t="s">
        <v>52</v>
      </c>
      <c r="C25" s="7" t="s">
        <v>53</v>
      </c>
      <c r="D25" s="5" t="s">
        <v>54</v>
      </c>
      <c r="E25" s="13" t="s">
        <v>29</v>
      </c>
      <c r="F25" s="12" t="s">
        <v>26</v>
      </c>
    </row>
    <row r="26" customFormat="false" ht="36" hidden="false" customHeight="true" outlineLevel="0" collapsed="false">
      <c r="A26" s="5" t="n">
        <v>18</v>
      </c>
      <c r="B26" s="6" t="s">
        <v>55</v>
      </c>
      <c r="C26" s="7" t="s">
        <v>56</v>
      </c>
      <c r="D26" s="5" t="s">
        <v>54</v>
      </c>
      <c r="E26" s="13" t="s">
        <v>29</v>
      </c>
      <c r="F26" s="12" t="s">
        <v>26</v>
      </c>
    </row>
    <row r="27" customFormat="false" ht="36" hidden="false" customHeight="true" outlineLevel="0" collapsed="false">
      <c r="A27" s="5" t="n">
        <v>19</v>
      </c>
      <c r="B27" s="6" t="s">
        <v>57</v>
      </c>
      <c r="C27" s="7" t="s">
        <v>58</v>
      </c>
      <c r="D27" s="5" t="s">
        <v>54</v>
      </c>
      <c r="E27" s="13" t="s">
        <v>29</v>
      </c>
      <c r="F27" s="12" t="s">
        <v>26</v>
      </c>
    </row>
    <row r="28" customFormat="false" ht="36" hidden="false" customHeight="true" outlineLevel="0" collapsed="false">
      <c r="A28" s="5" t="n">
        <v>20</v>
      </c>
      <c r="B28" s="6" t="s">
        <v>59</v>
      </c>
      <c r="C28" s="7" t="s">
        <v>60</v>
      </c>
      <c r="D28" s="5" t="s">
        <v>54</v>
      </c>
      <c r="E28" s="13" t="s">
        <v>29</v>
      </c>
      <c r="F28" s="14" t="s">
        <v>50</v>
      </c>
    </row>
    <row r="29" customFormat="false" ht="36" hidden="false" customHeight="true" outlineLevel="0" collapsed="false">
      <c r="A29" s="5" t="n">
        <v>21</v>
      </c>
      <c r="B29" s="6" t="s">
        <v>61</v>
      </c>
      <c r="C29" s="7" t="s">
        <v>62</v>
      </c>
      <c r="D29" s="5" t="s">
        <v>54</v>
      </c>
      <c r="E29" s="13" t="s">
        <v>29</v>
      </c>
      <c r="F29" s="14" t="s">
        <v>50</v>
      </c>
    </row>
    <row r="30" customFormat="false" ht="25.5" hidden="false" customHeight="true" outlineLevel="0" collapsed="false">
      <c r="A30" s="4" t="s">
        <v>63</v>
      </c>
      <c r="B30" s="4"/>
      <c r="C30" s="4"/>
      <c r="D30" s="4"/>
      <c r="E30" s="4"/>
      <c r="F30" s="4"/>
    </row>
    <row r="31" customFormat="false" ht="36" hidden="false" customHeight="true" outlineLevel="0" collapsed="false">
      <c r="A31" s="5" t="n">
        <v>22</v>
      </c>
      <c r="B31" s="6" t="s">
        <v>64</v>
      </c>
      <c r="C31" s="7" t="s">
        <v>65</v>
      </c>
      <c r="D31" s="5" t="s">
        <v>66</v>
      </c>
      <c r="E31" s="13" t="s">
        <v>29</v>
      </c>
      <c r="F31" s="9" t="s">
        <v>13</v>
      </c>
    </row>
    <row r="32" customFormat="false" ht="36" hidden="false" customHeight="true" outlineLevel="0" collapsed="false">
      <c r="A32" s="5" t="n">
        <v>23</v>
      </c>
      <c r="B32" s="6" t="s">
        <v>67</v>
      </c>
      <c r="C32" s="7" t="s">
        <v>68</v>
      </c>
      <c r="D32" s="5" t="s">
        <v>66</v>
      </c>
      <c r="E32" s="13" t="s">
        <v>29</v>
      </c>
      <c r="F32" s="12" t="s">
        <v>26</v>
      </c>
    </row>
    <row r="33" customFormat="false" ht="36" hidden="false" customHeight="true" outlineLevel="0" collapsed="false">
      <c r="A33" s="5" t="n">
        <v>24</v>
      </c>
      <c r="B33" s="6" t="s">
        <v>69</v>
      </c>
      <c r="C33" s="7" t="s">
        <v>70</v>
      </c>
      <c r="D33" s="5" t="s">
        <v>66</v>
      </c>
      <c r="E33" s="13" t="s">
        <v>29</v>
      </c>
      <c r="F33" s="9" t="s">
        <v>13</v>
      </c>
    </row>
    <row r="34" customFormat="false" ht="36" hidden="false" customHeight="true" outlineLevel="0" collapsed="false">
      <c r="A34" s="5" t="n">
        <v>25</v>
      </c>
      <c r="B34" s="6" t="s">
        <v>71</v>
      </c>
      <c r="C34" s="7" t="s">
        <v>72</v>
      </c>
      <c r="D34" s="5" t="s">
        <v>66</v>
      </c>
      <c r="E34" s="13" t="s">
        <v>29</v>
      </c>
      <c r="F34" s="9" t="s">
        <v>13</v>
      </c>
    </row>
    <row r="35" customFormat="false" ht="36" hidden="false" customHeight="true" outlineLevel="0" collapsed="false">
      <c r="A35" s="5" t="n">
        <v>26</v>
      </c>
      <c r="B35" s="6" t="s">
        <v>73</v>
      </c>
      <c r="C35" s="7" t="s">
        <v>74</v>
      </c>
      <c r="D35" s="5" t="s">
        <v>66</v>
      </c>
      <c r="E35" s="13" t="s">
        <v>29</v>
      </c>
      <c r="F35" s="12" t="s">
        <v>26</v>
      </c>
    </row>
    <row r="36" customFormat="false" ht="36" hidden="false" customHeight="true" outlineLevel="0" collapsed="false">
      <c r="A36" s="5" t="n">
        <v>27</v>
      </c>
      <c r="B36" s="6" t="s">
        <v>75</v>
      </c>
      <c r="C36" s="7" t="s">
        <v>76</v>
      </c>
      <c r="D36" s="5" t="s">
        <v>66</v>
      </c>
      <c r="E36" s="13" t="s">
        <v>29</v>
      </c>
      <c r="F36" s="9" t="s">
        <v>13</v>
      </c>
    </row>
    <row r="37" customFormat="false" ht="36" hidden="false" customHeight="true" outlineLevel="0" collapsed="false">
      <c r="A37" s="5" t="n">
        <v>28</v>
      </c>
      <c r="B37" s="6" t="s">
        <v>77</v>
      </c>
      <c r="C37" s="7" t="s">
        <v>78</v>
      </c>
      <c r="D37" s="5" t="s">
        <v>66</v>
      </c>
      <c r="E37" s="8" t="s">
        <v>12</v>
      </c>
      <c r="F37" s="9" t="s">
        <v>13</v>
      </c>
    </row>
    <row r="38" customFormat="false" ht="25.5" hidden="false" customHeight="true" outlineLevel="0" collapsed="false">
      <c r="A38" s="4" t="s">
        <v>79</v>
      </c>
      <c r="B38" s="4"/>
      <c r="C38" s="4"/>
      <c r="D38" s="4"/>
      <c r="E38" s="4"/>
      <c r="F38" s="4"/>
    </row>
    <row r="39" customFormat="false" ht="36" hidden="false" customHeight="true" outlineLevel="0" collapsed="false">
      <c r="A39" s="5" t="n">
        <v>29</v>
      </c>
      <c r="B39" s="6" t="s">
        <v>80</v>
      </c>
      <c r="C39" s="7" t="s">
        <v>81</v>
      </c>
      <c r="D39" s="5" t="s">
        <v>82</v>
      </c>
      <c r="E39" s="13" t="s">
        <v>29</v>
      </c>
      <c r="F39" s="9" t="s">
        <v>13</v>
      </c>
    </row>
    <row r="40" customFormat="false" ht="36" hidden="false" customHeight="true" outlineLevel="0" collapsed="false">
      <c r="A40" s="5" t="n">
        <v>30</v>
      </c>
      <c r="B40" s="6" t="s">
        <v>83</v>
      </c>
      <c r="C40" s="7" t="s">
        <v>84</v>
      </c>
      <c r="D40" s="5" t="s">
        <v>82</v>
      </c>
      <c r="E40" s="13" t="s">
        <v>29</v>
      </c>
      <c r="F40" s="9" t="s">
        <v>13</v>
      </c>
    </row>
    <row r="41" customFormat="false" ht="36" hidden="false" customHeight="true" outlineLevel="0" collapsed="false">
      <c r="A41" s="5" t="n">
        <v>31</v>
      </c>
      <c r="B41" s="6" t="s">
        <v>85</v>
      </c>
      <c r="C41" s="7" t="s">
        <v>86</v>
      </c>
      <c r="D41" s="5" t="s">
        <v>82</v>
      </c>
      <c r="E41" s="13" t="s">
        <v>29</v>
      </c>
      <c r="F41" s="12" t="s">
        <v>26</v>
      </c>
    </row>
    <row r="42" customFormat="false" ht="36" hidden="false" customHeight="true" outlineLevel="0" collapsed="false">
      <c r="A42" s="5" t="n">
        <v>32</v>
      </c>
      <c r="B42" s="6" t="s">
        <v>87</v>
      </c>
      <c r="C42" s="7" t="s">
        <v>88</v>
      </c>
      <c r="D42" s="5" t="s">
        <v>82</v>
      </c>
      <c r="E42" s="13" t="s">
        <v>29</v>
      </c>
      <c r="F42" s="14" t="s">
        <v>50</v>
      </c>
    </row>
    <row r="43" customFormat="false" ht="36" hidden="false" customHeight="true" outlineLevel="0" collapsed="false">
      <c r="A43" s="5" t="n">
        <v>33</v>
      </c>
      <c r="B43" s="6" t="s">
        <v>89</v>
      </c>
      <c r="C43" s="7" t="s">
        <v>90</v>
      </c>
      <c r="D43" s="5" t="s">
        <v>82</v>
      </c>
      <c r="E43" s="8" t="s">
        <v>12</v>
      </c>
      <c r="F43" s="12" t="s">
        <v>26</v>
      </c>
    </row>
    <row r="44" customFormat="false" ht="25.5" hidden="false" customHeight="true" outlineLevel="0" collapsed="false">
      <c r="A44" s="4" t="s">
        <v>91</v>
      </c>
      <c r="B44" s="4"/>
      <c r="C44" s="4"/>
      <c r="D44" s="4"/>
      <c r="E44" s="4"/>
      <c r="F44" s="4"/>
    </row>
    <row r="45" customFormat="false" ht="36" hidden="false" customHeight="true" outlineLevel="0" collapsed="false">
      <c r="A45" s="5" t="n">
        <v>34</v>
      </c>
      <c r="B45" s="6" t="s">
        <v>92</v>
      </c>
      <c r="C45" s="7" t="s">
        <v>93</v>
      </c>
      <c r="D45" s="5" t="s">
        <v>94</v>
      </c>
      <c r="E45" s="13" t="s">
        <v>29</v>
      </c>
      <c r="F45" s="9" t="s">
        <v>13</v>
      </c>
    </row>
    <row r="46" customFormat="false" ht="36" hidden="false" customHeight="true" outlineLevel="0" collapsed="false">
      <c r="A46" s="5" t="n">
        <v>35</v>
      </c>
      <c r="B46" s="6" t="s">
        <v>95</v>
      </c>
      <c r="C46" s="7" t="s">
        <v>96</v>
      </c>
      <c r="D46" s="5" t="s">
        <v>94</v>
      </c>
      <c r="E46" s="13" t="s">
        <v>29</v>
      </c>
      <c r="F46" s="12" t="s">
        <v>26</v>
      </c>
    </row>
    <row r="47" customFormat="false" ht="36" hidden="false" customHeight="true" outlineLevel="0" collapsed="false">
      <c r="A47" s="5" t="n">
        <v>36</v>
      </c>
      <c r="B47" s="6" t="s">
        <v>97</v>
      </c>
      <c r="C47" s="7" t="s">
        <v>98</v>
      </c>
      <c r="D47" s="5" t="s">
        <v>94</v>
      </c>
      <c r="E47" s="13" t="s">
        <v>29</v>
      </c>
      <c r="F47" s="9" t="s">
        <v>13</v>
      </c>
    </row>
    <row r="48" customFormat="false" ht="36" hidden="false" customHeight="true" outlineLevel="0" collapsed="false">
      <c r="A48" s="5" t="n">
        <v>37</v>
      </c>
      <c r="B48" s="6" t="s">
        <v>99</v>
      </c>
      <c r="C48" s="7" t="s">
        <v>100</v>
      </c>
      <c r="D48" s="5" t="s">
        <v>94</v>
      </c>
      <c r="E48" s="13" t="s">
        <v>29</v>
      </c>
      <c r="F48" s="12" t="s">
        <v>26</v>
      </c>
    </row>
    <row r="49" customFormat="false" ht="36" hidden="false" customHeight="true" outlineLevel="0" collapsed="false">
      <c r="A49" s="5" t="n">
        <v>38</v>
      </c>
      <c r="B49" s="6" t="s">
        <v>101</v>
      </c>
      <c r="C49" s="7" t="s">
        <v>102</v>
      </c>
      <c r="D49" s="5" t="s">
        <v>94</v>
      </c>
      <c r="E49" s="13" t="s">
        <v>29</v>
      </c>
      <c r="F49" s="12" t="s">
        <v>26</v>
      </c>
    </row>
    <row r="50" customFormat="false" ht="25.5" hidden="false" customHeight="true" outlineLevel="0" collapsed="false">
      <c r="A50" s="4" t="s">
        <v>103</v>
      </c>
      <c r="B50" s="4"/>
      <c r="C50" s="4"/>
      <c r="D50" s="4"/>
      <c r="E50" s="4"/>
      <c r="F50" s="4"/>
    </row>
    <row r="51" customFormat="false" ht="36" hidden="false" customHeight="true" outlineLevel="0" collapsed="false">
      <c r="A51" s="5" t="n">
        <v>39</v>
      </c>
      <c r="B51" s="6" t="s">
        <v>104</v>
      </c>
      <c r="C51" s="7" t="s">
        <v>105</v>
      </c>
      <c r="D51" s="5" t="s">
        <v>106</v>
      </c>
      <c r="E51" s="10" t="s">
        <v>18</v>
      </c>
      <c r="F51" s="9" t="s">
        <v>13</v>
      </c>
    </row>
    <row r="52" customFormat="false" ht="36" hidden="false" customHeight="true" outlineLevel="0" collapsed="false">
      <c r="A52" s="5" t="n">
        <v>40</v>
      </c>
      <c r="B52" s="6" t="s">
        <v>107</v>
      </c>
      <c r="C52" s="7" t="s">
        <v>108</v>
      </c>
      <c r="D52" s="5" t="s">
        <v>106</v>
      </c>
      <c r="E52" s="10" t="s">
        <v>18</v>
      </c>
      <c r="F52" s="9" t="s">
        <v>13</v>
      </c>
    </row>
    <row r="53" customFormat="false" ht="36" hidden="false" customHeight="true" outlineLevel="0" collapsed="false">
      <c r="A53" s="5" t="n">
        <v>41</v>
      </c>
      <c r="B53" s="6" t="s">
        <v>109</v>
      </c>
      <c r="C53" s="7" t="s">
        <v>110</v>
      </c>
      <c r="D53" s="5" t="s">
        <v>106</v>
      </c>
      <c r="E53" s="10" t="s">
        <v>18</v>
      </c>
      <c r="F53" s="9" t="s">
        <v>13</v>
      </c>
    </row>
    <row r="54" customFormat="false" ht="36" hidden="false" customHeight="true" outlineLevel="0" collapsed="false">
      <c r="A54" s="5" t="n">
        <v>42</v>
      </c>
      <c r="B54" s="6" t="s">
        <v>111</v>
      </c>
      <c r="C54" s="7" t="s">
        <v>112</v>
      </c>
      <c r="D54" s="5" t="s">
        <v>106</v>
      </c>
      <c r="E54" s="10" t="s">
        <v>18</v>
      </c>
      <c r="F54" s="9" t="s">
        <v>13</v>
      </c>
    </row>
    <row r="55" customFormat="false" ht="36" hidden="false" customHeight="true" outlineLevel="0" collapsed="false">
      <c r="A55" s="5" t="n">
        <v>43</v>
      </c>
      <c r="B55" s="6" t="s">
        <v>113</v>
      </c>
      <c r="C55" s="7" t="s">
        <v>114</v>
      </c>
      <c r="D55" s="5" t="s">
        <v>106</v>
      </c>
      <c r="E55" s="8" t="s">
        <v>12</v>
      </c>
      <c r="F55" s="9" t="s">
        <v>13</v>
      </c>
    </row>
    <row r="56" customFormat="false" ht="36" hidden="false" customHeight="true" outlineLevel="0" collapsed="false">
      <c r="A56" s="5" t="n">
        <v>44</v>
      </c>
      <c r="B56" s="6" t="s">
        <v>115</v>
      </c>
      <c r="C56" s="7" t="s">
        <v>116</v>
      </c>
      <c r="D56" s="5" t="s">
        <v>106</v>
      </c>
      <c r="E56" s="8" t="s">
        <v>12</v>
      </c>
      <c r="F56" s="12" t="s">
        <v>26</v>
      </c>
    </row>
    <row r="57" customFormat="false" ht="36" hidden="false" customHeight="true" outlineLevel="0" collapsed="false">
      <c r="A57" s="5" t="n">
        <v>45</v>
      </c>
      <c r="B57" s="6" t="s">
        <v>117</v>
      </c>
      <c r="C57" s="7" t="s">
        <v>118</v>
      </c>
      <c r="D57" s="5" t="s">
        <v>106</v>
      </c>
      <c r="E57" s="8" t="s">
        <v>12</v>
      </c>
      <c r="F57" s="12" t="s">
        <v>26</v>
      </c>
    </row>
    <row r="58" customFormat="false" ht="25.5" hidden="false" customHeight="true" outlineLevel="0" collapsed="false">
      <c r="A58" s="4" t="s">
        <v>119</v>
      </c>
      <c r="B58" s="4"/>
      <c r="C58" s="4"/>
      <c r="D58" s="4"/>
      <c r="E58" s="4"/>
      <c r="F58" s="4"/>
    </row>
    <row r="59" customFormat="false" ht="36" hidden="false" customHeight="true" outlineLevel="0" collapsed="false">
      <c r="A59" s="5" t="n">
        <v>46</v>
      </c>
      <c r="B59" s="6" t="s">
        <v>120</v>
      </c>
      <c r="C59" s="7" t="s">
        <v>121</v>
      </c>
      <c r="D59" s="5" t="s">
        <v>122</v>
      </c>
      <c r="E59" s="10" t="s">
        <v>18</v>
      </c>
      <c r="F59" s="9" t="s">
        <v>13</v>
      </c>
    </row>
    <row r="60" customFormat="false" ht="36" hidden="false" customHeight="true" outlineLevel="0" collapsed="false">
      <c r="A60" s="5" t="n">
        <v>47</v>
      </c>
      <c r="B60" s="6" t="s">
        <v>123</v>
      </c>
      <c r="C60" s="7" t="s">
        <v>124</v>
      </c>
      <c r="D60" s="5" t="s">
        <v>122</v>
      </c>
      <c r="E60" s="10" t="s">
        <v>18</v>
      </c>
      <c r="F60" s="12" t="s">
        <v>26</v>
      </c>
    </row>
    <row r="61" customFormat="false" ht="36" hidden="false" customHeight="true" outlineLevel="0" collapsed="false">
      <c r="A61" s="5" t="n">
        <v>48</v>
      </c>
      <c r="B61" s="6" t="s">
        <v>125</v>
      </c>
      <c r="C61" s="7" t="s">
        <v>126</v>
      </c>
      <c r="D61" s="5" t="s">
        <v>122</v>
      </c>
      <c r="E61" s="13" t="s">
        <v>29</v>
      </c>
      <c r="F61" s="9" t="s">
        <v>13</v>
      </c>
    </row>
    <row r="62" customFormat="false" ht="36" hidden="false" customHeight="true" outlineLevel="0" collapsed="false">
      <c r="A62" s="5" t="n">
        <v>49</v>
      </c>
      <c r="B62" s="6" t="s">
        <v>127</v>
      </c>
      <c r="C62" s="7" t="s">
        <v>128</v>
      </c>
      <c r="D62" s="5" t="s">
        <v>122</v>
      </c>
      <c r="E62" s="13" t="s">
        <v>29</v>
      </c>
      <c r="F62" s="9" t="s">
        <v>13</v>
      </c>
    </row>
    <row r="63" customFormat="false" ht="36" hidden="false" customHeight="true" outlineLevel="0" collapsed="false">
      <c r="A63" s="5" t="n">
        <v>50</v>
      </c>
      <c r="B63" s="6" t="s">
        <v>129</v>
      </c>
      <c r="C63" s="7" t="s">
        <v>130</v>
      </c>
      <c r="D63" s="5" t="s">
        <v>122</v>
      </c>
      <c r="E63" s="13" t="s">
        <v>29</v>
      </c>
      <c r="F63" s="12" t="s">
        <v>26</v>
      </c>
    </row>
    <row r="64" customFormat="false" ht="36" hidden="false" customHeight="true" outlineLevel="0" collapsed="false">
      <c r="A64" s="5" t="n">
        <v>51</v>
      </c>
      <c r="B64" s="6" t="s">
        <v>131</v>
      </c>
      <c r="C64" s="7" t="s">
        <v>132</v>
      </c>
      <c r="D64" s="5" t="s">
        <v>122</v>
      </c>
      <c r="E64" s="13" t="s">
        <v>29</v>
      </c>
      <c r="F64" s="9" t="s">
        <v>13</v>
      </c>
    </row>
    <row r="65" customFormat="false" ht="25.5" hidden="false" customHeight="true" outlineLevel="0" collapsed="false">
      <c r="A65" s="4" t="s">
        <v>133</v>
      </c>
      <c r="B65" s="4"/>
      <c r="C65" s="4"/>
      <c r="D65" s="4"/>
      <c r="E65" s="4"/>
      <c r="F65" s="4"/>
    </row>
    <row r="66" customFormat="false" ht="36" hidden="false" customHeight="true" outlineLevel="0" collapsed="false">
      <c r="A66" s="5" t="n">
        <v>52</v>
      </c>
      <c r="B66" s="6" t="s">
        <v>134</v>
      </c>
      <c r="C66" s="7" t="s">
        <v>135</v>
      </c>
      <c r="D66" s="5" t="s">
        <v>136</v>
      </c>
      <c r="E66" s="10" t="s">
        <v>18</v>
      </c>
      <c r="F66" s="9" t="s">
        <v>13</v>
      </c>
    </row>
    <row r="67" customFormat="false" ht="36" hidden="false" customHeight="true" outlineLevel="0" collapsed="false">
      <c r="A67" s="5" t="n">
        <v>53</v>
      </c>
      <c r="B67" s="6" t="s">
        <v>137</v>
      </c>
      <c r="C67" s="7" t="s">
        <v>138</v>
      </c>
      <c r="D67" s="5" t="s">
        <v>136</v>
      </c>
      <c r="E67" s="13" t="s">
        <v>29</v>
      </c>
      <c r="F67" s="9" t="s">
        <v>13</v>
      </c>
    </row>
    <row r="68" customFormat="false" ht="36" hidden="false" customHeight="true" outlineLevel="0" collapsed="false">
      <c r="A68" s="5" t="n">
        <v>54</v>
      </c>
      <c r="B68" s="6" t="s">
        <v>139</v>
      </c>
      <c r="C68" s="7" t="s">
        <v>140</v>
      </c>
      <c r="D68" s="5" t="s">
        <v>136</v>
      </c>
      <c r="E68" s="13" t="s">
        <v>29</v>
      </c>
      <c r="F68" s="9" t="s">
        <v>13</v>
      </c>
    </row>
    <row r="69" customFormat="false" ht="36" hidden="false" customHeight="true" outlineLevel="0" collapsed="false">
      <c r="A69" s="5" t="n">
        <v>55</v>
      </c>
      <c r="B69" s="6" t="s">
        <v>141</v>
      </c>
      <c r="C69" s="7" t="s">
        <v>142</v>
      </c>
      <c r="D69" s="5" t="s">
        <v>143</v>
      </c>
      <c r="E69" s="8" t="s">
        <v>12</v>
      </c>
      <c r="F69" s="9" t="s">
        <v>13</v>
      </c>
    </row>
    <row r="70" customFormat="false" ht="36" hidden="false" customHeight="true" outlineLevel="0" collapsed="false">
      <c r="A70" s="5" t="n">
        <v>56</v>
      </c>
      <c r="B70" s="6" t="s">
        <v>144</v>
      </c>
      <c r="C70" s="7" t="s">
        <v>145</v>
      </c>
      <c r="D70" s="5" t="s">
        <v>143</v>
      </c>
      <c r="E70" s="13" t="s">
        <v>29</v>
      </c>
      <c r="F70" s="9" t="s">
        <v>13</v>
      </c>
    </row>
  </sheetData>
  <mergeCells count="11">
    <mergeCell ref="A1:F1"/>
    <mergeCell ref="A2:F2"/>
    <mergeCell ref="A6:F6"/>
    <mergeCell ref="A14:F14"/>
    <mergeCell ref="A24:F24"/>
    <mergeCell ref="A30:F30"/>
    <mergeCell ref="A38:F38"/>
    <mergeCell ref="A44:F44"/>
    <mergeCell ref="A50:F50"/>
    <mergeCell ref="A58:F58"/>
    <mergeCell ref="A65:F65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5" t="s">
        <v>146</v>
      </c>
      <c r="B1" s="15"/>
      <c r="C1" s="15"/>
    </row>
    <row r="3" customFormat="false" ht="15" hidden="false" customHeight="false" outlineLevel="0" collapsed="false">
      <c r="A3" s="3" t="s">
        <v>147</v>
      </c>
      <c r="B3" s="3" t="s">
        <v>148</v>
      </c>
      <c r="C3" s="3" t="s">
        <v>149</v>
      </c>
    </row>
    <row r="4" customFormat="false" ht="15" hidden="false" customHeight="false" outlineLevel="0" collapsed="false">
      <c r="A4" s="16" t="s">
        <v>150</v>
      </c>
      <c r="B4" s="5" t="n">
        <f aca="false">COUNTA('MVP Features'!B6:B200)-COUNTIF('MVP Features'!E6:E200,"")</f>
        <v>-83</v>
      </c>
      <c r="C4" s="17"/>
    </row>
    <row r="5" customFormat="false" ht="15" hidden="false" customHeight="false" outlineLevel="0" collapsed="false">
      <c r="A5" s="16" t="s">
        <v>18</v>
      </c>
      <c r="B5" s="5" t="n">
        <f aca="false">COUNTIF('MVP Features'!E6:E200,"Built")</f>
        <v>12</v>
      </c>
      <c r="C5" s="18" t="s">
        <v>151</v>
      </c>
    </row>
    <row r="6" customFormat="false" ht="15" hidden="false" customHeight="false" outlineLevel="0" collapsed="false">
      <c r="A6" s="16" t="s">
        <v>12</v>
      </c>
      <c r="B6" s="5" t="n">
        <f aca="false">COUNTIF('MVP Features'!E6:E200,"Partial")</f>
        <v>9</v>
      </c>
      <c r="C6" s="18" t="s">
        <v>152</v>
      </c>
    </row>
    <row r="7" customFormat="false" ht="15" hidden="false" customHeight="false" outlineLevel="0" collapsed="false">
      <c r="A7" s="16" t="s">
        <v>21</v>
      </c>
      <c r="B7" s="5" t="n">
        <f aca="false">COUNTIF('MVP Features'!E6:E200,"Planned")</f>
        <v>1</v>
      </c>
      <c r="C7" s="18" t="s">
        <v>153</v>
      </c>
    </row>
    <row r="8" customFormat="false" ht="15" hidden="false" customHeight="false" outlineLevel="0" collapsed="false">
      <c r="A8" s="16" t="s">
        <v>29</v>
      </c>
      <c r="B8" s="5" t="n">
        <f aca="false">COUNTIF('MVP Features'!E6:E200,"New")</f>
        <v>34</v>
      </c>
      <c r="C8" s="18" t="s">
        <v>154</v>
      </c>
    </row>
    <row r="9" customFormat="false" ht="15" hidden="false" customHeight="false" outlineLevel="0" collapsed="false">
      <c r="A9" s="19"/>
      <c r="B9" s="20"/>
      <c r="C9" s="19"/>
    </row>
    <row r="10" customFormat="false" ht="15" hidden="false" customHeight="false" outlineLevel="0" collapsed="false">
      <c r="A10" s="16" t="s">
        <v>155</v>
      </c>
      <c r="B10" s="5" t="n">
        <f aca="false">COUNTIF('MVP Features'!F6:F200,"P0")</f>
        <v>33</v>
      </c>
      <c r="C10" s="18" t="s">
        <v>156</v>
      </c>
    </row>
    <row r="11" customFormat="false" ht="15" hidden="false" customHeight="false" outlineLevel="0" collapsed="false">
      <c r="A11" s="16" t="s">
        <v>157</v>
      </c>
      <c r="B11" s="5" t="n">
        <f aca="false">COUNTIF('MVP Features'!F6:F200,"P1")</f>
        <v>19</v>
      </c>
      <c r="C11" s="18" t="s">
        <v>158</v>
      </c>
    </row>
    <row r="12" customFormat="false" ht="15" hidden="false" customHeight="false" outlineLevel="0" collapsed="false">
      <c r="A12" s="16" t="s">
        <v>159</v>
      </c>
      <c r="B12" s="5" t="n">
        <f aca="false">COUNTIF('MVP Features'!F6:F200,"P2")</f>
        <v>4</v>
      </c>
      <c r="C12" s="18" t="s">
        <v>160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2026-04-07T12:23:07Z</dcterms:created>
  <dc:creator>openpyxl</dc:creator>
  <dc:description/>
  <dc:language>en-US</dc:language>
  <cp:lastModifiedBy/>
  <dcterms:modified xsi:type="dcterms:W3CDTF">2026-04-07T12:23:07Z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