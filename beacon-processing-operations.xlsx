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tio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<sst xmlns="http://schemas.openxmlformats.org/spreadsheetml/2006/main" count="1506" uniqueCount="1076">
  <si>
    <t xml:space="preserve">Beacon Digital Twin — Atomic Processing Operations</t>
  </si>
  <si>
    <t xml:space="preserve">Every individual script/function in the map builder pipeline — LiDAR, satellite, street-view, CV, and I-JEPA feature extraction</t>
  </si>
  <si>
    <t xml:space="preserve">#</t>
  </si>
  <si>
    <t xml:space="preserve">Function Name</t>
  </si>
  <si>
    <t xml:space="preserve">Description</t>
  </si>
  <si>
    <t xml:space="preserve">Input</t>
  </si>
  <si>
    <t xml:space="preserve">Output</t>
  </si>
  <si>
    <t xml:space="preserve">Stage</t>
  </si>
  <si>
    <t xml:space="preserve">Model / Algorithm</t>
  </si>
  <si>
    <t xml:space="preserve">Source</t>
  </si>
  <si>
    <t xml:space="preserve">LiDAR Ingestion &amp; Point Cloud Preprocessing</t>
  </si>
  <si>
    <t xml:space="preserve">download_3dep_laz</t>
  </si>
  <si>
    <t xml:space="preserve">Download USGS 3DEP LiDAR project tiles</t>
  </si>
  <si>
    <t xml:space="preserve">USGS 3DEP API + bbox</t>
  </si>
  <si>
    <t xml:space="preserve">Raw LAZ files on S3</t>
  </si>
  <si>
    <t xml:space="preserve">Ingest</t>
  </si>
  <si>
    <t xml:space="preserve">HTTP range fetch</t>
  </si>
  <si>
    <t xml:space="preserve">LiDAR</t>
  </si>
  <si>
    <t xml:space="preserve">decompress_laz_to_las</t>
  </si>
  <si>
    <t xml:space="preserve">Decompress LAZ to LAS for processing</t>
  </si>
  <si>
    <t xml:space="preserve">LAZ file</t>
  </si>
  <si>
    <t xml:space="preserve">LAS point cloud</t>
  </si>
  <si>
    <t xml:space="preserve">LASzip codec</t>
  </si>
  <si>
    <t xml:space="preserve">normalize_crs</t>
  </si>
  <si>
    <t xml:space="preserve">Reproject point cloud to EPSG:4326</t>
  </si>
  <si>
    <t xml:space="preserve">LAS (any CRS)</t>
  </si>
  <si>
    <t xml:space="preserve">LAS (EPSG:4326)</t>
  </si>
  <si>
    <t xml:space="preserve">Align</t>
  </si>
  <si>
    <t xml:space="preserve">PROJ transform</t>
  </si>
  <si>
    <t xml:space="preserve">normalize_vertical_datum</t>
  </si>
  <si>
    <t xml:space="preserve">Convert vertical datum to NAVD88</t>
  </si>
  <si>
    <t xml:space="preserve">DEM (raw datum)</t>
  </si>
  <si>
    <t xml:space="preserve">DEM (NAVD88)</t>
  </si>
  <si>
    <t xml:space="preserve">Geoid grid lookup</t>
  </si>
  <si>
    <t xml:space="preserve">strip_adjust</t>
  </si>
  <si>
    <t xml:space="preserve">Correct flight-line misalignment in overlapping strips</t>
  </si>
  <si>
    <t xml:space="preserve">Multi-strip LAZ</t>
  </si>
  <si>
    <t xml:space="preserve">Adjusted LAZ</t>
  </si>
  <si>
    <t xml:space="preserve">Least-squares strip adjust</t>
  </si>
  <si>
    <t xml:space="preserve">mosaic_projects</t>
  </si>
  <si>
    <t xml:space="preserve">Blend overlapping LiDAR projects at boundaries</t>
  </si>
  <si>
    <t xml:space="preserve">Multiple LAZ projects</t>
  </si>
  <si>
    <t xml:space="preserve">Seamless mosaic LAZ</t>
  </si>
  <si>
    <t xml:space="preserve">Boundary feathering</t>
  </si>
  <si>
    <t xml:space="preserve">classify_lidar_points</t>
  </si>
  <si>
    <t xml:space="preserve">ASPRS classification: ground, veg, building, water, noise</t>
  </si>
  <si>
    <t xml:space="preserve">Raw LAS</t>
  </si>
  <si>
    <t xml:space="preserve">Classified LAS</t>
  </si>
  <si>
    <t xml:space="preserve">Classify</t>
  </si>
  <si>
    <t xml:space="preserve">Progressive morphological filter</t>
  </si>
  <si>
    <t xml:space="preserve">ml_classify_points</t>
  </si>
  <si>
    <t xml:space="preserve">Refined classification with custom taxonomy</t>
  </si>
  <si>
    <t xml:space="preserve">Re-classified LAS</t>
  </si>
  <si>
    <t xml:space="preserve">RandLA-Net</t>
  </si>
  <si>
    <t xml:space="preserve">compute_point_density_grid</t>
  </si>
  <si>
    <t xml:space="preserve">Points-per-m2 grid for quality assessment</t>
  </si>
  <si>
    <t xml:space="preserve">1m density raster</t>
  </si>
  <si>
    <t xml:space="preserve">Validate</t>
  </si>
  <si>
    <t xml:space="preserve">Binning + count</t>
  </si>
  <si>
    <t xml:space="preserve">LiDAR Blind Spot &amp; Coverage Analysis</t>
  </si>
  <si>
    <t xml:space="preserve">compute_scan_angle_grid</t>
  </si>
  <si>
    <t xml:space="preserve">Map scan angle per cell from flight geometry</t>
  </si>
  <si>
    <t xml:space="preserve">LAS + flight path</t>
  </si>
  <si>
    <t xml:space="preserve">Scan angle raster (degrees)</t>
  </si>
  <si>
    <t xml:space="preserve">Extract</t>
  </si>
  <si>
    <t xml:space="preserve">Point attribute binning</t>
  </si>
  <si>
    <t xml:space="preserve">detect_shadow_zones</t>
  </si>
  <si>
    <t xml:space="preserve">Find areas occluded by tall objects at oblique angles</t>
  </si>
  <si>
    <t xml:space="preserve">DSM + scan angle grid</t>
  </si>
  <si>
    <t xml:space="preserve">Shadow mask polygon</t>
  </si>
  <si>
    <t xml:space="preserve">Ray-cast from scanner position</t>
  </si>
  <si>
    <t xml:space="preserve">detect_low_density_gaps</t>
  </si>
  <si>
    <t xml:space="preserve">Flag cells below minimum point density threshold</t>
  </si>
  <si>
    <t xml:space="preserve">Density grid</t>
  </si>
  <si>
    <t xml:space="preserve">Gap mask (binary)</t>
  </si>
  <si>
    <t xml:space="preserve">Threshold &lt; 2 pts/m2</t>
  </si>
  <si>
    <t xml:space="preserve">detect_multipath_artifacts</t>
  </si>
  <si>
    <t xml:space="preserve">Identify false returns from reflective surfaces (water, glass)</t>
  </si>
  <si>
    <t xml:space="preserve">Raw LAS + intensity</t>
  </si>
  <si>
    <t xml:space="preserve">Artifact point mask</t>
  </si>
  <si>
    <t xml:space="preserve">Intensity + elevation anomaly</t>
  </si>
  <si>
    <t xml:space="preserve">compute_coverage_completeness</t>
  </si>
  <si>
    <t xml:space="preserve">Percent of 1km tile with usable LiDAR data</t>
  </si>
  <si>
    <t xml:space="preserve">Gap mask + shadow mask</t>
  </si>
  <si>
    <t xml:space="preserve">Coverage % per tile</t>
  </si>
  <si>
    <t xml:space="preserve">Area ratio</t>
  </si>
  <si>
    <t xml:space="preserve">merge_multi_pass_coverage</t>
  </si>
  <si>
    <t xml:space="preserve">Combine overlapping passes to fill blind spots</t>
  </si>
  <si>
    <t xml:space="preserve">Multi-pass LAS files</t>
  </si>
  <si>
    <t xml:space="preserve">Merged LAS with max coverage</t>
  </si>
  <si>
    <t xml:space="preserve">Fuse</t>
  </si>
  <si>
    <t xml:space="preserve">Point cloud union + dedup</t>
  </si>
  <si>
    <t xml:space="preserve">flag_requires_supplement</t>
  </si>
  <si>
    <t xml:space="preserve">Mark tiles needing satellite/street-view fill for gaps</t>
  </si>
  <si>
    <t xml:space="preserve">Coverage % + gap locations</t>
  </si>
  <si>
    <t xml:space="preserve">Supplement request queue</t>
  </si>
  <si>
    <t xml:space="preserve">Threshold &lt; 85%</t>
  </si>
  <si>
    <t xml:space="preserve">LiDAR Feature Extraction</t>
  </si>
  <si>
    <t xml:space="preserve">generate_bare_earth_dem</t>
  </si>
  <si>
    <t xml:space="preserve">Ground-classified points to bare earth elevation</t>
  </si>
  <si>
    <t xml:space="preserve">Classified LAS (ground)</t>
  </si>
  <si>
    <t xml:space="preserve">1m DEM GeoTIFF</t>
  </si>
  <si>
    <t xml:space="preserve">TIN interpolation</t>
  </si>
  <si>
    <t xml:space="preserve">generate_dsm</t>
  </si>
  <si>
    <t xml:space="preserve">First-return points to digital surface model</t>
  </si>
  <si>
    <t xml:space="preserve">Classified LAS (first return)</t>
  </si>
  <si>
    <t xml:space="preserve">1m DSM GeoTIFF</t>
  </si>
  <si>
    <t xml:space="preserve">Max-height binning</t>
  </si>
  <si>
    <t xml:space="preserve">compute_chm</t>
  </si>
  <si>
    <t xml:space="preserve">Canopy height = DSM minus DEM</t>
  </si>
  <si>
    <t xml:space="preserve">DEM + DSM</t>
  </si>
  <si>
    <t xml:space="preserve">1m CHM GeoTIFF</t>
  </si>
  <si>
    <t xml:space="preserve">Raster subtraction</t>
  </si>
  <si>
    <t xml:space="preserve">compute_ndsm</t>
  </si>
  <si>
    <t xml:space="preserve">Normalized surface = all objects above ground</t>
  </si>
  <si>
    <t xml:space="preserve">1m nDSM GeoTIFF</t>
  </si>
  <si>
    <t xml:space="preserve">extract_building_points</t>
  </si>
  <si>
    <t xml:space="preserve">Isolate building-classified points per footprint</t>
  </si>
  <si>
    <t xml:space="preserve">Classified LAS + footprint polygon</t>
  </si>
  <si>
    <t xml:space="preserve">Per-building point cloud</t>
  </si>
  <si>
    <t xml:space="preserve">Spatial clip</t>
  </si>
  <si>
    <t xml:space="preserve">compute_building_height_lidar</t>
  </si>
  <si>
    <t xml:space="preserve">Zonal max of nDSM within footprint</t>
  </si>
  <si>
    <t xml:space="preserve">nDSM + footprint polygon</t>
  </si>
  <si>
    <t xml:space="preserve">Height (m) per building</t>
  </si>
  <si>
    <t xml:space="preserve">Zonal statistics</t>
  </si>
  <si>
    <t xml:space="preserve">extract_roof_geometry</t>
  </si>
  <si>
    <t xml:space="preserve">Fit planes to building roof points</t>
  </si>
  <si>
    <t xml:space="preserve">Roof plane normals + type</t>
  </si>
  <si>
    <t xml:space="preserve">RANSAC plane fitting</t>
  </si>
  <si>
    <t xml:space="preserve">classify_roof_type_lidar</t>
  </si>
  <si>
    <t xml:space="preserve">Flat, gable, hip, shed from roof planes</t>
  </si>
  <si>
    <t xml:space="preserve">Roof plane normals</t>
  </si>
  <si>
    <t xml:space="preserve">Roof type label</t>
  </si>
  <si>
    <t xml:space="preserve">Plane count + angle rules</t>
  </si>
  <si>
    <t xml:space="preserve">detect_roof_solar_panels</t>
  </si>
  <si>
    <t xml:space="preserve">Find planar patches above roof surface</t>
  </si>
  <si>
    <t xml:space="preserve">Solar panel flag + area</t>
  </si>
  <si>
    <t xml:space="preserve">Height anomaly + plane fit</t>
  </si>
  <si>
    <t xml:space="preserve">detect_rooftop_equipment</t>
  </si>
  <si>
    <t xml:space="preserve">HVAC, antennas, tanks on rooftops</t>
  </si>
  <si>
    <t xml:space="preserve">Equipment point clusters</t>
  </si>
  <si>
    <t xml:space="preserve">DBSCAN clustering</t>
  </si>
  <si>
    <t xml:space="preserve">extract_vegetation_points</t>
  </si>
  <si>
    <t xml:space="preserve">Isolate vegetation-classified points</t>
  </si>
  <si>
    <t xml:space="preserve">Vegetation point cloud</t>
  </si>
  <si>
    <t xml:space="preserve">Class filter</t>
  </si>
  <si>
    <t xml:space="preserve">detect_individual_trees</t>
  </si>
  <si>
    <t xml:space="preserve">Segment canopy into individual tree crowns</t>
  </si>
  <si>
    <t xml:space="preserve">CHM + vegetation points</t>
  </si>
  <si>
    <t xml:space="preserve">Tree point list (x,y,h,crown_r)</t>
  </si>
  <si>
    <t xml:space="preserve">Local maxima + watershed</t>
  </si>
  <si>
    <t xml:space="preserve">compute_tree_height</t>
  </si>
  <si>
    <t xml:space="preserve">Max height per segmented tree</t>
  </si>
  <si>
    <t xml:space="preserve">Tree segments</t>
  </si>
  <si>
    <t xml:space="preserve">Height (m) per tree</t>
  </si>
  <si>
    <t xml:space="preserve">Zonal max</t>
  </si>
  <si>
    <t xml:space="preserve">compute_crown_diameter</t>
  </si>
  <si>
    <t xml:space="preserve">Crown spread per segmented tree</t>
  </si>
  <si>
    <t xml:space="preserve">Diameter (m) per tree</t>
  </si>
  <si>
    <t xml:space="preserve">Convex hull width</t>
  </si>
  <si>
    <t xml:space="preserve">compute_canopy_density</t>
  </si>
  <si>
    <t xml:space="preserve">Ratio of veg returns to total returns per cell</t>
  </si>
  <si>
    <t xml:space="preserve">All returns + veg returns</t>
  </si>
  <si>
    <t xml:space="preserve">Density fraction raster</t>
  </si>
  <si>
    <t xml:space="preserve">Return ratio</t>
  </si>
  <si>
    <t xml:space="preserve">detect_ladder_fuels</t>
  </si>
  <si>
    <t xml:space="preserve">Vertical fuel continuity ground-to-canopy</t>
  </si>
  <si>
    <t xml:space="preserve">Vegetation points (height profile)</t>
  </si>
  <si>
    <t xml:space="preserve">Ladder fuel flag per cell</t>
  </si>
  <si>
    <t xml:space="preserve">Height gap analysis</t>
  </si>
  <si>
    <t xml:space="preserve">detect_snags_lidar</t>
  </si>
  <si>
    <t xml:space="preserve">Dead standing trees from low-return points</t>
  </si>
  <si>
    <t xml:space="preserve">Veg points + intensity</t>
  </si>
  <si>
    <t xml:space="preserve">Snag point list</t>
  </si>
  <si>
    <t xml:space="preserve">Low density + low intensity</t>
  </si>
  <si>
    <t xml:space="preserve">extract_power_lines</t>
  </si>
  <si>
    <t xml:space="preserve">Detect wire-classified points as line features</t>
  </si>
  <si>
    <t xml:space="preserve">Classified LAS (wire)</t>
  </si>
  <si>
    <t xml:space="preserve">Power line vectors</t>
  </si>
  <si>
    <t xml:space="preserve">RANSAC line fitting</t>
  </si>
  <si>
    <t xml:space="preserve">detect_power_poles</t>
  </si>
  <si>
    <t xml:space="preserve">Vertical point clusters along power lines</t>
  </si>
  <si>
    <t xml:space="preserve">Pole point list (x,y,h)</t>
  </si>
  <si>
    <t xml:space="preserve">Vertical cluster detection</t>
  </si>
  <si>
    <t xml:space="preserve">measure_road_width_lidar</t>
  </si>
  <si>
    <t xml:space="preserve">Cross-section analysis of road surface points</t>
  </si>
  <si>
    <t xml:space="preserve">Classified LAS (ground) + centerline</t>
  </si>
  <si>
    <t xml:space="preserve">Width (m) per 10m interval</t>
  </si>
  <si>
    <t xml:space="preserve">Perpendicular cross-section</t>
  </si>
  <si>
    <t xml:space="preserve">detect_curbs_shoulders</t>
  </si>
  <si>
    <t xml:space="preserve">Elevation discontinuity at road edge</t>
  </si>
  <si>
    <t xml:space="preserve">Ground points near road</t>
  </si>
  <si>
    <t xml:space="preserve">Curb/shoulder polyline</t>
  </si>
  <si>
    <t xml:space="preserve">Edge detection on elevation</t>
  </si>
  <si>
    <t xml:space="preserve">detect_fences_walls</t>
  </si>
  <si>
    <t xml:space="preserve">Narrow vertical planar features</t>
  </si>
  <si>
    <t xml:space="preserve">Barrier polyline + height</t>
  </si>
  <si>
    <t xml:space="preserve">ML barriers model</t>
  </si>
  <si>
    <t xml:space="preserve">detect_bridges_overpasses</t>
  </si>
  <si>
    <t xml:space="preserve">Road surface above terrain with void below</t>
  </si>
  <si>
    <t xml:space="preserve">DEM + road surface points</t>
  </si>
  <si>
    <t xml:space="preserve">Bridge polygon + clearance</t>
  </si>
  <si>
    <t xml:space="preserve">Elevation gap detection</t>
  </si>
  <si>
    <t xml:space="preserve">detect_parking_lots</t>
  </si>
  <si>
    <t xml:space="preserve">Large flat impervious areas adjacent to buildings</t>
  </si>
  <si>
    <t xml:space="preserve">Ground points + building footprints</t>
  </si>
  <si>
    <t xml:space="preserve">Parking polygon + capacity est</t>
  </si>
  <si>
    <t xml:space="preserve">Flatness + proximity rules</t>
  </si>
  <si>
    <t xml:space="preserve">detect_helicopter_landing_zones</t>
  </si>
  <si>
    <t xml:space="preserve">Flat clearings &gt; 30m diameter, no overhead wires</t>
  </si>
  <si>
    <t xml:space="preserve">DEM + DSM + power lines</t>
  </si>
  <si>
    <t xml:space="preserve">LZ polygon list</t>
  </si>
  <si>
    <t xml:space="preserve">Slope + clearance rules</t>
  </si>
  <si>
    <t xml:space="preserve">compute_roughness_index</t>
  </si>
  <si>
    <t xml:space="preserve">Surface roughness for passability</t>
  </si>
  <si>
    <t xml:space="preserve">DEM at 1m</t>
  </si>
  <si>
    <t xml:space="preserve">Roughness raster</t>
  </si>
  <si>
    <t xml:space="preserve">Std dev in moving window</t>
  </si>
  <si>
    <t xml:space="preserve">ml_advanced_buildings</t>
  </si>
  <si>
    <t xml:space="preserve">Roof type, material, solar, helicopter landing from points</t>
  </si>
  <si>
    <t xml:space="preserve">Building points + footprint</t>
  </si>
  <si>
    <t xml:space="preserve">Attribute vector per building</t>
  </si>
  <si>
    <t xml:space="preserve">PointNet++</t>
  </si>
  <si>
    <t xml:space="preserve">ml_surface_features</t>
  </si>
  <si>
    <t xml:space="preserve">Power lines, curbs, road widths, driveways from points</t>
  </si>
  <si>
    <t xml:space="preserve">ML-classified LAS + DEM</t>
  </si>
  <si>
    <t xml:space="preserve">Feature vectors</t>
  </si>
  <si>
    <t xml:space="preserve">PointNet++ / custom heads</t>
  </si>
  <si>
    <t xml:space="preserve">Satellite Ingestion &amp; Preprocessing</t>
  </si>
  <si>
    <t xml:space="preserve">download_sentinel2_scene</t>
  </si>
  <si>
    <t xml:space="preserve">Fetch L1C tile from Copernicus hub</t>
  </si>
  <si>
    <t xml:space="preserve">Copernicus API + bbox + date</t>
  </si>
  <si>
    <t xml:space="preserve">L1C GeoTIFF bands</t>
  </si>
  <si>
    <t xml:space="preserve">HTTP parallel download</t>
  </si>
  <si>
    <t xml:space="preserve">Satellite</t>
  </si>
  <si>
    <t xml:space="preserve">apply_atmospheric_correction</t>
  </si>
  <si>
    <t xml:space="preserve">L1C to L2A surface reflectance</t>
  </si>
  <si>
    <t xml:space="preserve">L1C GeoTIFF</t>
  </si>
  <si>
    <t xml:space="preserve">L2A reflectance GeoTIFF</t>
  </si>
  <si>
    <t xml:space="preserve">Sen2Cor / FLAASH</t>
  </si>
  <si>
    <t xml:space="preserve">mask_clouds_shadows</t>
  </si>
  <si>
    <t xml:space="preserve">Generate binary cloud/shadow mask</t>
  </si>
  <si>
    <t xml:space="preserve">L2A + QA band</t>
  </si>
  <si>
    <t xml:space="preserve">Cloud mask raster</t>
  </si>
  <si>
    <t xml:space="preserve">FMask algorithm</t>
  </si>
  <si>
    <t xml:space="preserve">register_to_grid</t>
  </si>
  <si>
    <t xml:space="preserve">Align scene to 1km tile grid</t>
  </si>
  <si>
    <t xml:space="preserve">GeoTIFF + GCPs</t>
  </si>
  <si>
    <t xml:space="preserve">Grid-aligned GeoTIFF</t>
  </si>
  <si>
    <t xml:space="preserve">Affine transform + GCPs</t>
  </si>
  <si>
    <t xml:space="preserve">create_temporal_composite</t>
  </si>
  <si>
    <t xml:space="preserve">Median composite from multi-date stack</t>
  </si>
  <si>
    <t xml:space="preserve">10+ scene stack (30-day)</t>
  </si>
  <si>
    <t xml:space="preserve">Cloud-free composite</t>
  </si>
  <si>
    <t xml:space="preserve">Median per-pixel</t>
  </si>
  <si>
    <t xml:space="preserve">download_naip_tile</t>
  </si>
  <si>
    <t xml:space="preserve">Fetch NAIP ortho from USGS/AWS</t>
  </si>
  <si>
    <t xml:space="preserve">USGS API + tile ID</t>
  </si>
  <si>
    <t xml:space="preserve">NAIP 4-band COG</t>
  </si>
  <si>
    <t xml:space="preserve">Cloud-optimized GeoTIFF</t>
  </si>
  <si>
    <t xml:space="preserve">orthorectify_naip</t>
  </si>
  <si>
    <t xml:space="preserve">Terrain-correct NAIP using DEM</t>
  </si>
  <si>
    <t xml:space="preserve">NAIP raw + DEM</t>
  </si>
  <si>
    <t xml:space="preserve">Orthorectified NAIP</t>
  </si>
  <si>
    <t xml:space="preserve">RPC + DEM correction</t>
  </si>
  <si>
    <t xml:space="preserve">coregister_naip_sentinel</t>
  </si>
  <si>
    <t xml:space="preserve">Sub-pixel align NAIP to Sentinel grid</t>
  </si>
  <si>
    <t xml:space="preserve">NAIP ortho + S2 composite</t>
  </si>
  <si>
    <t xml:space="preserve">Co-registered NAIP</t>
  </si>
  <si>
    <t xml:space="preserve">Mutual information matching</t>
  </si>
  <si>
    <t xml:space="preserve">coregister_lidar_to_satellite</t>
  </si>
  <si>
    <t xml:space="preserve">Align DEM to satellite grid using GCPs</t>
  </si>
  <si>
    <t xml:space="preserve">DEM + Sentinel-2</t>
  </si>
  <si>
    <t xml:space="preserve">Co-registered DEM</t>
  </si>
  <si>
    <t xml:space="preserve">GCP-based affine</t>
  </si>
  <si>
    <t xml:space="preserve">download_goes_scene</t>
  </si>
  <si>
    <t xml:space="preserve">Fetch GOES-16/17 time-series</t>
  </si>
  <si>
    <t xml:space="preserve">NOAA bucket + time range</t>
  </si>
  <si>
    <t xml:space="preserve">NetCDF raw</t>
  </si>
  <si>
    <t xml:space="preserve">AWS S3 fetch</t>
  </si>
  <si>
    <t xml:space="preserve">download_viirs_granule</t>
  </si>
  <si>
    <t xml:space="preserve">Fetch VIIRS fire/thermal granule</t>
  </si>
  <si>
    <t xml:space="preserve">LAADS / NASA Fire API</t>
  </si>
  <si>
    <t xml:space="preserve">HDF5 granule</t>
  </si>
  <si>
    <t xml:space="preserve">HTTP fetch</t>
  </si>
  <si>
    <t xml:space="preserve">Satellite Feature Extraction</t>
  </si>
  <si>
    <t xml:space="preserve">compute_ndvi</t>
  </si>
  <si>
    <t xml:space="preserve">Vegetation index from NIR and Red</t>
  </si>
  <si>
    <t xml:space="preserve">Multispectral raster</t>
  </si>
  <si>
    <t xml:space="preserve">NDVI raster (-1 to 1)</t>
  </si>
  <si>
    <t xml:space="preserve">(NIR-RED)/(NIR+RED)</t>
  </si>
  <si>
    <t xml:space="preserve">compute_ndwi</t>
  </si>
  <si>
    <t xml:space="preserve">Water/moisture index</t>
  </si>
  <si>
    <t xml:space="preserve">NDWI raster</t>
  </si>
  <si>
    <t xml:space="preserve">(NIR-SWIR)/(NIR+SWIR)</t>
  </si>
  <si>
    <t xml:space="preserve">compute_nbr</t>
  </si>
  <si>
    <t xml:space="preserve">Burn ratio for fire scar detection</t>
  </si>
  <si>
    <t xml:space="preserve">NBR raster</t>
  </si>
  <si>
    <t xml:space="preserve">(NIR-SWIR2)/(NIR+SWIR2)</t>
  </si>
  <si>
    <t xml:space="preserve">compute_ndsi</t>
  </si>
  <si>
    <t xml:space="preserve">Snow/ice cover index</t>
  </si>
  <si>
    <t xml:space="preserve">NDSI raster</t>
  </si>
  <si>
    <t xml:space="preserve">(GREEN-SWIR)/(GREEN+SWIR)</t>
  </si>
  <si>
    <t xml:space="preserve">compute_mndwi</t>
  </si>
  <si>
    <t xml:space="preserve">Water extent mapping</t>
  </si>
  <si>
    <t xml:space="preserve">MNDWI raster</t>
  </si>
  <si>
    <t xml:space="preserve">compute_ndbi</t>
  </si>
  <si>
    <t xml:space="preserve">Built-up area index</t>
  </si>
  <si>
    <t xml:space="preserve">NDBI raster</t>
  </si>
  <si>
    <t xml:space="preserve">(SWIR-NIR)/(SWIR+NIR)</t>
  </si>
  <si>
    <t xml:space="preserve">detect_burn_scars</t>
  </si>
  <si>
    <t xml:space="preserve">Map burned areas from pre/post NBR diff</t>
  </si>
  <si>
    <t xml:space="preserve">Pre-fire NBR + post-fire NBR</t>
  </si>
  <si>
    <t xml:space="preserve">Burn scar polygon + severity</t>
  </si>
  <si>
    <t xml:space="preserve">dNBR thresholding</t>
  </si>
  <si>
    <t xml:space="preserve">detect_seasonal_change</t>
  </si>
  <si>
    <t xml:space="preserve">Change mask between two temporal composites</t>
  </si>
  <si>
    <t xml:space="preserve">Composite T1 + T2</t>
  </si>
  <si>
    <t xml:space="preserve">Change mask raster</t>
  </si>
  <si>
    <t xml:space="preserve">Normalized difference</t>
  </si>
  <si>
    <t xml:space="preserve">segment_buildings_satellite</t>
  </si>
  <si>
    <t xml:space="preserve">Building mask from aerial imagery</t>
  </si>
  <si>
    <t xml:space="preserve">NAIP 4-band RGB-NIR</t>
  </si>
  <si>
    <t xml:space="preserve">Building mask raster</t>
  </si>
  <si>
    <t xml:space="preserve">U-Net (EfficientNet-B4)</t>
  </si>
  <si>
    <t xml:space="preserve">segment_roads_satellite</t>
  </si>
  <si>
    <t xml:space="preserve">Road mask from aerial imagery</t>
  </si>
  <si>
    <t xml:space="preserve">Road mask raster</t>
  </si>
  <si>
    <t xml:space="preserve">D-LinkNet</t>
  </si>
  <si>
    <t xml:space="preserve">estimate_building_height_shadow</t>
  </si>
  <si>
    <t xml:space="preserve">Height from shadow length + sun angle</t>
  </si>
  <si>
    <t xml:space="preserve">Satellite image + solar ephemeris</t>
  </si>
  <si>
    <t xml:space="preserve">Shadow geometry</t>
  </si>
  <si>
    <t xml:space="preserve">classify_surface_from_satellite</t>
  </si>
  <si>
    <t xml:space="preserve">Paved vs unpaved road classification</t>
  </si>
  <si>
    <t xml:space="preserve">NAIP spectral values + road mask</t>
  </si>
  <si>
    <t xml:space="preserve">Surface type per segment</t>
  </si>
  <si>
    <t xml:space="preserve">NDVI/NDBI thresholding</t>
  </si>
  <si>
    <t xml:space="preserve">measure_road_width_satellite</t>
  </si>
  <si>
    <t xml:space="preserve">Road width from mask perpendicular extent</t>
  </si>
  <si>
    <t xml:space="preserve">Road mask + centerline</t>
  </si>
  <si>
    <t xml:space="preserve">Width (m) per segment</t>
  </si>
  <si>
    <t xml:space="preserve">Mask edge distance</t>
  </si>
  <si>
    <t xml:space="preserve">classify_land_cover</t>
  </si>
  <si>
    <t xml:space="preserve">Broad cover type: urban, forest, water, crop, barren</t>
  </si>
  <si>
    <t xml:space="preserve">Multispectral composite</t>
  </si>
  <si>
    <t xml:space="preserve">Land cover raster</t>
  </si>
  <si>
    <t xml:space="preserve">Random Forest on indices</t>
  </si>
  <si>
    <t xml:space="preserve">detect_water_bodies</t>
  </si>
  <si>
    <t xml:space="preserve">Map open water from MNDWI</t>
  </si>
  <si>
    <t xml:space="preserve">Water polygon layer</t>
  </si>
  <si>
    <t xml:space="preserve">MNDWI threshold &gt; 0.3</t>
  </si>
  <si>
    <t xml:space="preserve">detect_impervious_surface</t>
  </si>
  <si>
    <t xml:space="preserve">Map paved/concrete areas</t>
  </si>
  <si>
    <t xml:space="preserve">NDBI + NDVI rasters</t>
  </si>
  <si>
    <t xml:space="preserve">Impervious fraction raster</t>
  </si>
  <si>
    <t xml:space="preserve">NDBI &gt; 0 AND NDVI &lt; 0.2</t>
  </si>
  <si>
    <t xml:space="preserve">estimate_soil_moisture_satellite</t>
  </si>
  <si>
    <t xml:space="preserve">Surface moisture from SWIR bands</t>
  </si>
  <si>
    <t xml:space="preserve">Sentinel-2 SWIR</t>
  </si>
  <si>
    <t xml:space="preserve">Moisture index raster</t>
  </si>
  <si>
    <t xml:space="preserve">SWIR reflectance model</t>
  </si>
  <si>
    <t xml:space="preserve">Street-View &amp; CV Feature Extraction</t>
  </si>
  <si>
    <t xml:space="preserve">download_mapillary_sequence</t>
  </si>
  <si>
    <t xml:space="preserve">Fetch street-level image sequence for region</t>
  </si>
  <si>
    <t xml:space="preserve">Mapillary API + bbox + date</t>
  </si>
  <si>
    <t xml:space="preserve">Image metadata + S3 refs</t>
  </si>
  <si>
    <t xml:space="preserve">API pagination</t>
  </si>
  <si>
    <t xml:space="preserve">Street-View</t>
  </si>
  <si>
    <t xml:space="preserve">correct_gps_position</t>
  </si>
  <si>
    <t xml:space="preserve">Map-match raw GPS to road centerline</t>
  </si>
  <si>
    <t xml:space="preserve">Raw GPS + road network</t>
  </si>
  <si>
    <t xml:space="preserve">Corrected lat/lon (+-10m)</t>
  </si>
  <si>
    <t xml:space="preserve">HMM map matching</t>
  </si>
  <si>
    <t xml:space="preserve">estimate_camera_pose</t>
  </si>
  <si>
    <t xml:space="preserve">Recover camera intrinsic/extrinsic from image</t>
  </si>
  <si>
    <t xml:space="preserve">Image + road geometry</t>
  </si>
  <si>
    <t xml:space="preserve">Calibration matrix</t>
  </si>
  <si>
    <t xml:space="preserve">Vanishing point + SfM</t>
  </si>
  <si>
    <t xml:space="preserve">blur_faces_plates</t>
  </si>
  <si>
    <t xml:space="preserve">Anonymize faces and license plates</t>
  </si>
  <si>
    <t xml:space="preserve">Raw image</t>
  </si>
  <si>
    <t xml:space="preserve">Anonymized image</t>
  </si>
  <si>
    <t xml:space="preserve">MobileNet + TFLite OCR</t>
  </si>
  <si>
    <t xml:space="preserve">render_lidar_synthetic_view</t>
  </si>
  <si>
    <t xml:space="preserve">Generate synthetic street-level image from LiDAR</t>
  </si>
  <si>
    <t xml:space="preserve">LiDAR point cloud + road segment</t>
  </si>
  <si>
    <t xml:space="preserve">1920x1080 baseline image</t>
  </si>
  <si>
    <t xml:space="preserve">Point cloud rendering</t>
  </si>
  <si>
    <t xml:space="preserve">compare_to_baseline</t>
  </si>
  <si>
    <t xml:space="preserve">Detect changes between current and baseline image</t>
  </si>
  <si>
    <t xml:space="preserve">Current photo + baseline</t>
  </si>
  <si>
    <t xml:space="preserve">Change mask + severity</t>
  </si>
  <si>
    <t xml:space="preserve">Structural similarity + diff</t>
  </si>
  <si>
    <t xml:space="preserve">classify_material_from_street_view</t>
  </si>
  <si>
    <t xml:space="preserve">Building exterior material from facade image</t>
  </si>
  <si>
    <t xml:space="preserve">Mapillary image crop</t>
  </si>
  <si>
    <t xml:space="preserve">Material class + confidence</t>
  </si>
  <si>
    <t xml:space="preserve">ResNet-50 fine-tuned</t>
  </si>
  <si>
    <t xml:space="preserve">classify_roof_material_cv</t>
  </si>
  <si>
    <t xml:space="preserve">Roof material from overhead or oblique images</t>
  </si>
  <si>
    <t xml:space="preserve">Street-view + satellite</t>
  </si>
  <si>
    <t xml:space="preserve">Roof material class</t>
  </si>
  <si>
    <t xml:space="preserve">ResNet-50 + reflectance</t>
  </si>
  <si>
    <t xml:space="preserve">classify_purpose_from_street_view</t>
  </si>
  <si>
    <t xml:space="preserve">Building use from signage, logos, facade style</t>
  </si>
  <si>
    <t xml:space="preserve">Purpose class + confidence</t>
  </si>
  <si>
    <t xml:space="preserve">EfficientNet-B3 logo det</t>
  </si>
  <si>
    <t xml:space="preserve">detect_soft_story</t>
  </si>
  <si>
    <t xml:space="preserve">Ground floor wall/opening ratio for seismic risk</t>
  </si>
  <si>
    <t xml:space="preserve">Street-view image + point cloud</t>
  </si>
  <si>
    <t xml:space="preserve">Soft story flag + confidence</t>
  </si>
  <si>
    <t xml:space="preserve">Wall detection CNN</t>
  </si>
  <si>
    <t xml:space="preserve">classify_surface_from_street_view</t>
  </si>
  <si>
    <t xml:space="preserve">Road surface type and condition from pavement image</t>
  </si>
  <si>
    <t xml:space="preserve">Mapillary road crop</t>
  </si>
  <si>
    <t xml:space="preserve">Surface + condition class</t>
  </si>
  <si>
    <t xml:space="preserve">ResNet-50 pavement model</t>
  </si>
  <si>
    <t xml:space="preserve">detect_fire_hydrants</t>
  </si>
  <si>
    <t xml:space="preserve">Locate hydrants from street-level images</t>
  </si>
  <si>
    <t xml:space="preserve">Mapillary image</t>
  </si>
  <si>
    <t xml:space="preserve">Hydrant point + color (pressure)</t>
  </si>
  <si>
    <t xml:space="preserve">Small object detector</t>
  </si>
  <si>
    <t xml:space="preserve">detect_gates_barriers</t>
  </si>
  <si>
    <t xml:space="preserve">Find gates, bollards, boom barriers on roads</t>
  </si>
  <si>
    <t xml:space="preserve">Barrier point + type</t>
  </si>
  <si>
    <t xml:space="preserve">YOLO object detection</t>
  </si>
  <si>
    <t xml:space="preserve">detect_cell_towers</t>
  </si>
  <si>
    <t xml:space="preserve">Locate cell towers from satellite/street imagery</t>
  </si>
  <si>
    <t xml:space="preserve">Satellite or street image</t>
  </si>
  <si>
    <t xml:space="preserve">Tower point + type</t>
  </si>
  <si>
    <t xml:space="preserve">YOLO localization</t>
  </si>
  <si>
    <t xml:space="preserve">detect_vehicle_types</t>
  </si>
  <si>
    <t xml:space="preserve">Classify vehicles in view for capacity/crowding</t>
  </si>
  <si>
    <t xml:space="preserve">Video frame</t>
  </si>
  <si>
    <t xml:space="preserve">Vehicle class + count</t>
  </si>
  <si>
    <t xml:space="preserve">YOLO vehicle classifier</t>
  </si>
  <si>
    <t xml:space="preserve">detect_damage_type</t>
  </si>
  <si>
    <t xml:space="preserve">Classify post-event damage from user photo</t>
  </si>
  <si>
    <t xml:space="preserve">User-submitted image</t>
  </si>
  <si>
    <t xml:space="preserve">Damage class + severity 1-10</t>
  </si>
  <si>
    <t xml:space="preserve">ResNet damage classifier</t>
  </si>
  <si>
    <t xml:space="preserve">extract_activity_patterns</t>
  </si>
  <si>
    <t xml:space="preserve">Vehicle/pedestrian counts from Ring footage</t>
  </si>
  <si>
    <t xml:space="preserve">30-day video</t>
  </si>
  <si>
    <t xml:space="preserve">Hourly count time-series</t>
  </si>
  <si>
    <t xml:space="preserve">Background subtraction + tracker</t>
  </si>
  <si>
    <t xml:space="preserve">measure_snow_depth</t>
  </si>
  <si>
    <t xml:space="preserve">Estimate snow accumulation from driveway camera</t>
  </si>
  <si>
    <t xml:space="preserve">Ring video + prior baseline</t>
  </si>
  <si>
    <t xml:space="preserve">Depth (cm) estimate</t>
  </si>
  <si>
    <t xml:space="preserve">Depth estimation CNN</t>
  </si>
  <si>
    <t xml:space="preserve">I-JEPA Self-Supervised Feature Extraction</t>
  </si>
  <si>
    <t xml:space="preserve">pretrain_ijepa_geospatial</t>
  </si>
  <si>
    <t xml:space="preserve">Train I-JEPA encoder on unlabeled satellite + aerial imagery</t>
  </si>
  <si>
    <t xml:space="preserve">Millions of satellite/NAIP patches</t>
  </si>
  <si>
    <t xml:space="preserve">Geospatial I-JEPA backbone weights</t>
  </si>
  <si>
    <t xml:space="preserve">Model</t>
  </si>
  <si>
    <t xml:space="preserve">I-JEPA (ViT-L/16)</t>
  </si>
  <si>
    <t xml:space="preserve">I-JEPA</t>
  </si>
  <si>
    <t xml:space="preserve">encode_satellite_patch</t>
  </si>
  <si>
    <t xml:space="preserve">Generate dense embedding for a satellite image tile</t>
  </si>
  <si>
    <t xml:space="preserve">Satellite patch (256x256)</t>
  </si>
  <si>
    <t xml:space="preserve">768-dim embedding vector</t>
  </si>
  <si>
    <t xml:space="preserve">I-JEPA encoder forward pass</t>
  </si>
  <si>
    <t xml:space="preserve">encode_lidar_heightmap</t>
  </si>
  <si>
    <t xml:space="preserve">Generate embedding from LiDAR height raster</t>
  </si>
  <si>
    <t xml:space="preserve">DEM/DSM/CHM patch (256x256)</t>
  </si>
  <si>
    <t xml:space="preserve">I-JEPA encoder (height input)</t>
  </si>
  <si>
    <t xml:space="preserve">encode_street_view_image</t>
  </si>
  <si>
    <t xml:space="preserve">Generate embedding from street-level photo</t>
  </si>
  <si>
    <t xml:space="preserve">Street-view image (224x224)</t>
  </si>
  <si>
    <t xml:space="preserve">cluster_embeddings_by_landuse</t>
  </si>
  <si>
    <t xml:space="preserve">Unsupervised clustering of patch embeddings</t>
  </si>
  <si>
    <t xml:space="preserve">Embedding vectors (all patches)</t>
  </si>
  <si>
    <t xml:space="preserve">Cluster labels per patch</t>
  </si>
  <si>
    <t xml:space="preserve">K-Means / HDBSCAN</t>
  </si>
  <si>
    <t xml:space="preserve">detect_anomalous_patches</t>
  </si>
  <si>
    <t xml:space="preserve">Find patches that deviate from cluster norm</t>
  </si>
  <si>
    <t xml:space="preserve">Patch embedding + cluster centroids</t>
  </si>
  <si>
    <t xml:space="preserve">Anomaly score per patch</t>
  </si>
  <si>
    <t xml:space="preserve">Distance to centroid</t>
  </si>
  <si>
    <t xml:space="preserve">predict_missing_context</t>
  </si>
  <si>
    <t xml:space="preserve">Predict masked patch content from surrounding context</t>
  </si>
  <si>
    <t xml:space="preserve">Partial image + mask</t>
  </si>
  <si>
    <t xml:space="preserve">Predicted embedding for masked region</t>
  </si>
  <si>
    <t xml:space="preserve">I-JEPA predictor head</t>
  </si>
  <si>
    <t xml:space="preserve">transfer_to_building_segmentation</t>
  </si>
  <si>
    <t xml:space="preserve">Fine-tune I-JEPA backbone for building extraction</t>
  </si>
  <si>
    <t xml:space="preserve">I-JEPA backbone + labeled buildings</t>
  </si>
  <si>
    <t xml:space="preserve">Fine-tuned segmentation model</t>
  </si>
  <si>
    <t xml:space="preserve">I-JEPA + Mask head</t>
  </si>
  <si>
    <t xml:space="preserve">transfer_to_damage_assessment</t>
  </si>
  <si>
    <t xml:space="preserve">Fine-tune I-JEPA for pre/post disaster comparison</t>
  </si>
  <si>
    <t xml:space="preserve">I-JEPA backbone + damage labels</t>
  </si>
  <si>
    <t xml:space="preserve">Damage detection model</t>
  </si>
  <si>
    <t xml:space="preserve">I-JEPA + Siamese head</t>
  </si>
  <si>
    <t xml:space="preserve">transfer_to_vegetation_class</t>
  </si>
  <si>
    <t xml:space="preserve">Fine-tune I-JEPA for species/fuel classification</t>
  </si>
  <si>
    <t xml:space="preserve">I-JEPA backbone + veg labels</t>
  </si>
  <si>
    <t xml:space="preserve">Vegetation classifier</t>
  </si>
  <si>
    <t xml:space="preserve">I-JEPA + classification head</t>
  </si>
  <si>
    <t xml:space="preserve">cross_modal_align</t>
  </si>
  <si>
    <t xml:space="preserve">Align satellite and LiDAR embeddings into shared space</t>
  </si>
  <si>
    <t xml:space="preserve">Satellite embeds + LiDAR embeds (paired)</t>
  </si>
  <si>
    <t xml:space="preserve">Aligned cross-modal embeddings</t>
  </si>
  <si>
    <t xml:space="preserve">Contrastive projection head</t>
  </si>
  <si>
    <t xml:space="preserve">temporal_change_embedding</t>
  </si>
  <si>
    <t xml:space="preserve">Embed pre/post image pair, detect semantic change</t>
  </si>
  <si>
    <t xml:space="preserve">Pre embed + post embed</t>
  </si>
  <si>
    <t xml:space="preserve">Change vector + magnitude</t>
  </si>
  <si>
    <t xml:space="preserve">Embedding difference + threshold</t>
  </si>
  <si>
    <t xml:space="preserve">zero_shot_feature_query</t>
  </si>
  <si>
    <t xml:space="preserve">Find features matching text description without labels</t>
  </si>
  <si>
    <t xml:space="preserve">I-JEPA embed + CLIP text embed</t>
  </si>
  <si>
    <t xml:space="preserve">Ranked patch list by similarity</t>
  </si>
  <si>
    <t xml:space="preserve">Cosine similarity search</t>
  </si>
  <si>
    <t xml:space="preserve">Terrain Derivative Computation</t>
  </si>
  <si>
    <t xml:space="preserve">fill_dem_voids</t>
  </si>
  <si>
    <t xml:space="preserve">Interpolate missing cells in DEM</t>
  </si>
  <si>
    <t xml:space="preserve">DEM with NoData cells</t>
  </si>
  <si>
    <t xml:space="preserve">Void-filled DEM</t>
  </si>
  <si>
    <t xml:space="preserve">Inverse distance weighting</t>
  </si>
  <si>
    <t xml:space="preserve">Terrain</t>
  </si>
  <si>
    <t xml:space="preserve">remove_dem_artifacts</t>
  </si>
  <si>
    <t xml:space="preserve">Remove spikes and pits from DEM</t>
  </si>
  <si>
    <t xml:space="preserve">Raw DEM</t>
  </si>
  <si>
    <t xml:space="preserve">Cleaned DEM</t>
  </si>
  <si>
    <t xml:space="preserve">Median filter + outlier removal</t>
  </si>
  <si>
    <t xml:space="preserve">compute_slope</t>
  </si>
  <si>
    <t xml:space="preserve">Slope angle from DEM</t>
  </si>
  <si>
    <t xml:space="preserve">DEM 1m</t>
  </si>
  <si>
    <t xml:space="preserve">Slope raster (degrees)</t>
  </si>
  <si>
    <t xml:space="preserve">Horn method (3x3)</t>
  </si>
  <si>
    <t xml:space="preserve">compute_aspect</t>
  </si>
  <si>
    <t xml:space="preserve">Slope direction from DEM</t>
  </si>
  <si>
    <t xml:space="preserve">Aspect raster (0-360)</t>
  </si>
  <si>
    <t xml:space="preserve">compute_curvature</t>
  </si>
  <si>
    <t xml:space="preserve">Profile and plan curvature</t>
  </si>
  <si>
    <t xml:space="preserve">Curvature rasters</t>
  </si>
  <si>
    <t xml:space="preserve">Second derivative</t>
  </si>
  <si>
    <t xml:space="preserve">compute_d8_flow_direction</t>
  </si>
  <si>
    <t xml:space="preserve">Water flow direction per cell</t>
  </si>
  <si>
    <t xml:space="preserve">DEM</t>
  </si>
  <si>
    <t xml:space="preserve">D8 direction grid (1-8)</t>
  </si>
  <si>
    <t xml:space="preserve">Steepest neighbor</t>
  </si>
  <si>
    <t xml:space="preserve">compute_flow_accumulation</t>
  </si>
  <si>
    <t xml:space="preserve">Upstream contributing area per cell</t>
  </si>
  <si>
    <t xml:space="preserve">D8 direction grid</t>
  </si>
  <si>
    <t xml:space="preserve">Flow accumulation raster</t>
  </si>
  <si>
    <t xml:space="preserve">Cell count propagation</t>
  </si>
  <si>
    <t xml:space="preserve">delineate_watersheds</t>
  </si>
  <si>
    <t xml:space="preserve">Watershed boundaries from pour points</t>
  </si>
  <si>
    <t xml:space="preserve">DEM + pour points</t>
  </si>
  <si>
    <t xml:space="preserve">Watershed polygons</t>
  </si>
  <si>
    <t xml:space="preserve">D8 + pour point trace</t>
  </si>
  <si>
    <t xml:space="preserve">compute_hand</t>
  </si>
  <si>
    <t xml:space="preserve">Height Above Nearest Drainage per cell</t>
  </si>
  <si>
    <t xml:space="preserve">DEM + stream network</t>
  </si>
  <si>
    <t xml:space="preserve">HAND raster (meters)</t>
  </si>
  <si>
    <t xml:space="preserve">Flow path to stream</t>
  </si>
  <si>
    <t xml:space="preserve">identify_stream_network</t>
  </si>
  <si>
    <t xml:space="preserve">Extract stream centerlines from flow accumulation</t>
  </si>
  <si>
    <t xml:space="preserve">Flow accumulation</t>
  </si>
  <si>
    <t xml:space="preserve">Stream polyline network</t>
  </si>
  <si>
    <t xml:space="preserve">Threshold + vectorize</t>
  </si>
  <si>
    <t xml:space="preserve">identify_depressions</t>
  </si>
  <si>
    <t xml:space="preserve">Closed basins that trap water</t>
  </si>
  <si>
    <t xml:space="preserve">Depression polygons + volume</t>
  </si>
  <si>
    <t xml:space="preserve">Fill-difference method</t>
  </si>
  <si>
    <t xml:space="preserve">compute_twi</t>
  </si>
  <si>
    <t xml:space="preserve">Topographic Wetness Index for flood susceptibility</t>
  </si>
  <si>
    <t xml:space="preserve">Slope + flow accumulation</t>
  </si>
  <si>
    <t xml:space="preserve">TWI raster</t>
  </si>
  <si>
    <t xml:space="preserve">ln(a / tan(b))</t>
  </si>
  <si>
    <t xml:space="preserve">classify_terrain_traversability</t>
  </si>
  <si>
    <t xml:space="preserve">Slope + roughness = traversable/difficult/impassable</t>
  </si>
  <si>
    <t xml:space="preserve">Slope + roughness + surface</t>
  </si>
  <si>
    <t xml:space="preserve">Traversability class raster</t>
  </si>
  <si>
    <t xml:space="preserve">Rule-based thresholds</t>
  </si>
  <si>
    <t xml:space="preserve">detect_cliffs_scarps</t>
  </si>
  <si>
    <t xml:space="preserve">Near-vertical terrain faces</t>
  </si>
  <si>
    <t xml:space="preserve">Slope raster</t>
  </si>
  <si>
    <t xml:space="preserve">Cliff polyline layer</t>
  </si>
  <si>
    <t xml:space="preserve">Slope &gt; 60 degrees</t>
  </si>
  <si>
    <t xml:space="preserve">compute_soil_permeability</t>
  </si>
  <si>
    <t xml:space="preserve">Infiltration rate from soil survey data</t>
  </si>
  <si>
    <t xml:space="preserve">SSURGO soil polygons</t>
  </si>
  <si>
    <t xml:space="preserve">Permeability raster (mm/hr)</t>
  </si>
  <si>
    <t xml:space="preserve">Lookup table by soil class</t>
  </si>
  <si>
    <t xml:space="preserve">classify_liquefaction_susceptibility</t>
  </si>
  <si>
    <t xml:space="preserve">Earthquake-induced ground failure risk</t>
  </si>
  <si>
    <t xml:space="preserve">Soil type + groundwater + slope</t>
  </si>
  <si>
    <t xml:space="preserve">Susceptibility class raster</t>
  </si>
  <si>
    <t xml:space="preserve">USGS susceptibility model</t>
  </si>
  <si>
    <t xml:space="preserve">classify_landslide_susceptibility</t>
  </si>
  <si>
    <t xml:space="preserve">Slope failure probability</t>
  </si>
  <si>
    <t xml:space="preserve">Slope + soil + moisture + land cover</t>
  </si>
  <si>
    <t xml:space="preserve">Logistic regression model</t>
  </si>
  <si>
    <t xml:space="preserve">Vegetation &amp; Fuel Analysis</t>
  </si>
  <si>
    <t xml:space="preserve">load_landfire_evt</t>
  </si>
  <si>
    <t xml:space="preserve">Download existing vegetation type grid (140 classes)</t>
  </si>
  <si>
    <t xml:space="preserve">LANDFIRE API + bbox</t>
  </si>
  <si>
    <t xml:space="preserve">EVT 30m raster</t>
  </si>
  <si>
    <t xml:space="preserve">Vegetation</t>
  </si>
  <si>
    <t xml:space="preserve">load_landfire_fbfm40</t>
  </si>
  <si>
    <t xml:space="preserve">Download fuel bed model grid (40 models)</t>
  </si>
  <si>
    <t xml:space="preserve">FBFM40 30m raster</t>
  </si>
  <si>
    <t xml:space="preserve">classify_vegetation_type</t>
  </si>
  <si>
    <t xml:space="preserve">Broad veg class from spectral + structure</t>
  </si>
  <si>
    <t xml:space="preserve">NDVI + CHM + EVT</t>
  </si>
  <si>
    <t xml:space="preserve">Veg type raster</t>
  </si>
  <si>
    <t xml:space="preserve">Random Forest</t>
  </si>
  <si>
    <t xml:space="preserve">classify_tree_species</t>
  </si>
  <si>
    <t xml:space="preserve">Species-level ID from multispectral + LiDAR structure</t>
  </si>
  <si>
    <t xml:space="preserve">Sentinel-2 (11 bands) + LiDAR metrics</t>
  </si>
  <si>
    <t xml:space="preserve">Species label per tree</t>
  </si>
  <si>
    <t xml:space="preserve">Random Forest (spectral+struct)</t>
  </si>
  <si>
    <t xml:space="preserve">compute_fuel_loading</t>
  </si>
  <si>
    <t xml:space="preserve">Tons per hectare from fuel model + canopy metrics</t>
  </si>
  <si>
    <t xml:space="preserve">FBFM40 + CHM + canopy density</t>
  </si>
  <si>
    <t xml:space="preserve">Fuel load raster (tons/ha)</t>
  </si>
  <si>
    <t xml:space="preserve">Lookup + LiDAR adjustment</t>
  </si>
  <si>
    <t xml:space="preserve">estimate_fuel_moisture</t>
  </si>
  <si>
    <t xml:space="preserve">Live and dead fuel moisture content</t>
  </si>
  <si>
    <t xml:space="preserve">Weather + NDVI + aspect</t>
  </si>
  <si>
    <t xml:space="preserve">Fuel moisture % raster</t>
  </si>
  <si>
    <t xml:space="preserve">Empirical moisture model</t>
  </si>
  <si>
    <t xml:space="preserve">compute_fuel_bed_depth</t>
  </si>
  <si>
    <t xml:space="preserve">Vertical fuel depth from model + veg height</t>
  </si>
  <si>
    <t xml:space="preserve">FBFM40 + understory height</t>
  </si>
  <si>
    <t xml:space="preserve">Depth raster (meters)</t>
  </si>
  <si>
    <t xml:space="preserve">Model lookup + LiDAR</t>
  </si>
  <si>
    <t xml:space="preserve">classify_fuel_type</t>
  </si>
  <si>
    <t xml:space="preserve">Grass / shrub / timber / slash classification</t>
  </si>
  <si>
    <t xml:space="preserve">FBFM40 + EVT</t>
  </si>
  <si>
    <t xml:space="preserve">Fuel type raster</t>
  </si>
  <si>
    <t xml:space="preserve">Lookup table</t>
  </si>
  <si>
    <t xml:space="preserve">compute_flammability_index</t>
  </si>
  <si>
    <t xml:space="preserve">Per-species fire ignition/spread risk</t>
  </si>
  <si>
    <t xml:space="preserve">Species label + moisture</t>
  </si>
  <si>
    <t xml:space="preserve">Flammability 0-1 per tree/cell</t>
  </si>
  <si>
    <t xml:space="preserve">Species lookup + moisture adj</t>
  </si>
  <si>
    <t xml:space="preserve">detect_snags_spectral</t>
  </si>
  <si>
    <t xml:space="preserve">Dead standing trees from low NDVI + LiDAR</t>
  </si>
  <si>
    <t xml:space="preserve">NDVI &lt; 0.3 + LiDAR reflectance</t>
  </si>
  <si>
    <t xml:space="preserve">Multi-source threshold</t>
  </si>
  <si>
    <t xml:space="preserve">detect_beetle_kill</t>
  </si>
  <si>
    <t xml:space="preserve">Insect-damaged forest from temporal NDVI decline</t>
  </si>
  <si>
    <t xml:space="preserve">NDVI time-series (multi-year)</t>
  </si>
  <si>
    <t xml:space="preserve">Beetle-kill polygon + severity</t>
  </si>
  <si>
    <t xml:space="preserve">Temporal change + spatial cluster</t>
  </si>
  <si>
    <t xml:space="preserve">estimate_tree_age</t>
  </si>
  <si>
    <t xml:space="preserve">Age from height + species growth curves</t>
  </si>
  <si>
    <t xml:space="preserve">Tree height + species</t>
  </si>
  <si>
    <t xml:space="preserve">Age estimate (years)</t>
  </si>
  <si>
    <t xml:space="preserve">Growth curve lookup</t>
  </si>
  <si>
    <t xml:space="preserve">compute_fire_spread_inputs</t>
  </si>
  <si>
    <t xml:space="preserve">Package Rothermel model inputs per cell</t>
  </si>
  <si>
    <t xml:space="preserve">Fuel load + moisture + slope + wind</t>
  </si>
  <si>
    <t xml:space="preserve">Spread rate input grid</t>
  </si>
  <si>
    <t xml:space="preserve">Rothermel equation prep</t>
  </si>
  <si>
    <t xml:space="preserve">Building Attribute Extraction &amp; Classification</t>
  </si>
  <si>
    <t xml:space="preserve">extract_footprint_polygon</t>
  </si>
  <si>
    <t xml:space="preserve">Vectorize building mask to polygon</t>
  </si>
  <si>
    <t xml:space="preserve">Building mask (LiDAR or satellite)</t>
  </si>
  <si>
    <t xml:space="preserve">GeoJSON polygon per building</t>
  </si>
  <si>
    <t xml:space="preserve">Alpha-shape + RDP simplify</t>
  </si>
  <si>
    <t xml:space="preserve">Building</t>
  </si>
  <si>
    <t xml:space="preserve">merge_overlapping_footprints</t>
  </si>
  <si>
    <t xml:space="preserve">Deduplicate overlapping building polygons</t>
  </si>
  <si>
    <t xml:space="preserve">Multi-source footprint set</t>
  </si>
  <si>
    <t xml:space="preserve">Merged unique footprints</t>
  </si>
  <si>
    <t xml:space="preserve">IOU threshold 0.5 merge</t>
  </si>
  <si>
    <t xml:space="preserve">validate_against_osm</t>
  </si>
  <si>
    <t xml:space="preserve">Compare extracted footprint to OSM</t>
  </si>
  <si>
    <t xml:space="preserve">Extracted polygon + OSM polygon</t>
  </si>
  <si>
    <t xml:space="preserve">Confidence adjustment +-0.2</t>
  </si>
  <si>
    <t xml:space="preserve">IOU comparison</t>
  </si>
  <si>
    <t xml:space="preserve">estimate_floor_count</t>
  </si>
  <si>
    <t xml:space="preserve">Floors from height / floor-height ratio</t>
  </si>
  <si>
    <t xml:space="preserve">Height (m) + purpose category</t>
  </si>
  <si>
    <t xml:space="preserve">Floor count integer</t>
  </si>
  <si>
    <t xml:space="preserve">Height / ratio lookup</t>
  </si>
  <si>
    <t xml:space="preserve">classify_purpose_from_osm</t>
  </si>
  <si>
    <t xml:space="preserve">Building use from OSM tags</t>
  </si>
  <si>
    <t xml:space="preserve">OSM building/amenity/shop tags</t>
  </si>
  <si>
    <t xml:space="preserve">Purpose category</t>
  </si>
  <si>
    <t xml:space="preserve">Tag mapping table</t>
  </si>
  <si>
    <t xml:space="preserve">classify_purpose_from_assessor</t>
  </si>
  <si>
    <t xml:space="preserve">Building use from county use code</t>
  </si>
  <si>
    <t xml:space="preserve">County assessor records</t>
  </si>
  <si>
    <t xml:space="preserve">Jurisdiction code tables</t>
  </si>
  <si>
    <t xml:space="preserve">reconcile_purpose_sources</t>
  </si>
  <si>
    <t xml:space="preserve">Final purpose from OSM + CV + assessor vote</t>
  </si>
  <si>
    <t xml:space="preserve">Multiple purpose labels</t>
  </si>
  <si>
    <t xml:space="preserve">Final label + confidence</t>
  </si>
  <si>
    <t xml:space="preserve">Weighted voting</t>
  </si>
  <si>
    <t xml:space="preserve">estimate_occupancy_capacity</t>
  </si>
  <si>
    <t xml:space="preserve">Max persons from area + purpose + floors</t>
  </si>
  <si>
    <t xml:space="preserve">Footprint area + purpose + floor count</t>
  </si>
  <si>
    <t xml:space="preserve">Occupancy estimate (persons)</t>
  </si>
  <si>
    <t xml:space="preserve">Density table lookup</t>
  </si>
  <si>
    <t xml:space="preserve">compute_time_of_day_occupancy</t>
  </si>
  <si>
    <t xml:space="preserve">Occupancy multiplier by hour/day</t>
  </si>
  <si>
    <t xml:space="preserve">Purpose + time</t>
  </si>
  <si>
    <t xml:space="preserve">Occupancy fraction 0-1</t>
  </si>
  <si>
    <t xml:space="preserve">Schedule lookup</t>
  </si>
  <si>
    <t xml:space="preserve">infer_material_from_age</t>
  </si>
  <si>
    <t xml:space="preserve">Likely material from year built + building code era</t>
  </si>
  <si>
    <t xml:space="preserve">Year built + jurisdiction</t>
  </si>
  <si>
    <t xml:space="preserve">Era-based rule table</t>
  </si>
  <si>
    <t xml:space="preserve">compute_fire_resistance_score</t>
  </si>
  <si>
    <t xml:space="preserve">Fire vulnerability from material + roof</t>
  </si>
  <si>
    <t xml:space="preserve">Material + roof material</t>
  </si>
  <si>
    <t xml:space="preserve">Fire resistance 0-1</t>
  </si>
  <si>
    <t xml:space="preserve">Material lookup</t>
  </si>
  <si>
    <t xml:space="preserve">assess_seismic_vulnerability</t>
  </si>
  <si>
    <t xml:space="preserve">Earthquake damage probability</t>
  </si>
  <si>
    <t xml:space="preserve">Height + material + age + floors + soft story</t>
  </si>
  <si>
    <t xml:space="preserve">Seismic score 0-1</t>
  </si>
  <si>
    <t xml:space="preserve">HAZUS fragility curves</t>
  </si>
  <si>
    <t xml:space="preserve">assess_flood_vulnerability</t>
  </si>
  <si>
    <t xml:space="preserve">Flood damage probability</t>
  </si>
  <si>
    <t xml:space="preserve">Ground elev + floors + basement + flood zone</t>
  </si>
  <si>
    <t xml:space="preserve">Flood score 0-1</t>
  </si>
  <si>
    <t xml:space="preserve">FEMA depth-damage curves</t>
  </si>
  <si>
    <t xml:space="preserve">assess_wind_vulnerability</t>
  </si>
  <si>
    <t xml:space="preserve">Wind damage probability</t>
  </si>
  <si>
    <t xml:space="preserve">Material + height + roof type + exposure</t>
  </si>
  <si>
    <t xml:space="preserve">Wind score 0-1</t>
  </si>
  <si>
    <t xml:space="preserve">ASCE 7 wind curves</t>
  </si>
  <si>
    <t xml:space="preserve">compute_neighbor_spacing</t>
  </si>
  <si>
    <t xml:space="preserve">Distance to nearest adjacent building</t>
  </si>
  <si>
    <t xml:space="preserve">Footprint polygon set</t>
  </si>
  <si>
    <t xml:space="preserve">Spacing (m) per building</t>
  </si>
  <si>
    <t xml:space="preserve">Nearest neighbor distance</t>
  </si>
  <si>
    <t xml:space="preserve">score_shelter_viability</t>
  </si>
  <si>
    <t xml:space="preserve">Can this building serve as emergency shelter?</t>
  </si>
  <si>
    <t xml:space="preserve">Size + material + purpose + ADA + capacity</t>
  </si>
  <si>
    <t xml:space="preserve">Shelter viability 0-1</t>
  </si>
  <si>
    <t xml:space="preserve">Multi-criteria scoring</t>
  </si>
  <si>
    <t xml:space="preserve">Road Network Extraction &amp; Passability</t>
  </si>
  <si>
    <t xml:space="preserve">extract_osm_network</t>
  </si>
  <si>
    <t xml:space="preserve">Parse OSM road ways with tags</t>
  </si>
  <si>
    <t xml:space="preserve">OSM PBF + tile extent</t>
  </si>
  <si>
    <t xml:space="preserve">Road centerlines + attributes</t>
  </si>
  <si>
    <t xml:space="preserve">OSM parser</t>
  </si>
  <si>
    <t xml:space="preserve">Road</t>
  </si>
  <si>
    <t xml:space="preserve">extract_tiger_network</t>
  </si>
  <si>
    <t xml:space="preserve">Parse TIGER/Line road centerlines</t>
  </si>
  <si>
    <t xml:space="preserve">TIGER shapefiles + tile extent</t>
  </si>
  <si>
    <t xml:space="preserve">Road centerlines + address ranges</t>
  </si>
  <si>
    <t xml:space="preserve">TIGER parser</t>
  </si>
  <si>
    <t xml:space="preserve">conflate_osm_tiger</t>
  </si>
  <si>
    <t xml:space="preserve">Merge OSM and TIGER into unified network</t>
  </si>
  <si>
    <t xml:space="preserve">OSM segments + TIGER segments</t>
  </si>
  <si>
    <t xml:space="preserve">Unified road network</t>
  </si>
  <si>
    <t xml:space="preserve">Spatial join (10m tolerance)</t>
  </si>
  <si>
    <t xml:space="preserve">build_routing_graph</t>
  </si>
  <si>
    <t xml:space="preserve">Construct directed graph from centerlines</t>
  </si>
  <si>
    <t xml:space="preserve">Road centerlines + turn rules</t>
  </si>
  <si>
    <t xml:space="preserve">Adjacency matrix / graph</t>
  </si>
  <si>
    <t xml:space="preserve">Graph construction</t>
  </si>
  <si>
    <t xml:space="preserve">identify_dead_ends</t>
  </si>
  <si>
    <t xml:space="preserve">Find degree-1 nodes (evacuation traps)</t>
  </si>
  <si>
    <t xml:space="preserve">Road graph</t>
  </si>
  <si>
    <t xml:space="preserve">Dead-end node list</t>
  </si>
  <si>
    <t xml:space="preserve">Graph degree filter</t>
  </si>
  <si>
    <t xml:space="preserve">identify_cul_de_sacs</t>
  </si>
  <si>
    <t xml:space="preserve">Find looped dead-end streets</t>
  </si>
  <si>
    <t xml:space="preserve">Road graph + geometry</t>
  </si>
  <si>
    <t xml:space="preserve">Cul-de-sac list</t>
  </si>
  <si>
    <t xml:space="preserve">Loop pattern matching</t>
  </si>
  <si>
    <t xml:space="preserve">interpolate_width_gaps</t>
  </si>
  <si>
    <t xml:space="preserve">Fill missing width measurements</t>
  </si>
  <si>
    <t xml:space="preserve">Width array with nulls</t>
  </si>
  <si>
    <t xml:space="preserve">Interpolated width</t>
  </si>
  <si>
    <t xml:space="preserve">Linear / moving avg fill</t>
  </si>
  <si>
    <t xml:space="preserve">compute_effective_width</t>
  </si>
  <si>
    <t xml:space="preserve">Drivable width minus parked cars</t>
  </si>
  <si>
    <t xml:space="preserve">Measured width + street crowding</t>
  </si>
  <si>
    <t xml:space="preserve">Effective width (m)</t>
  </si>
  <si>
    <t xml:space="preserve">Width - vehicle width</t>
  </si>
  <si>
    <t xml:space="preserve">detect_dirt_road_from_terrain</t>
  </si>
  <si>
    <t xml:space="preserve">Find unmapped roads from DEM clearings</t>
  </si>
  <si>
    <t xml:space="preserve">DEM + NDVI</t>
  </si>
  <si>
    <t xml:space="preserve">Unpaved road candidates</t>
  </si>
  <si>
    <t xml:space="preserve">Low-veg + low-slope lines</t>
  </si>
  <si>
    <t xml:space="preserve">flag_seasonal_roads</t>
  </si>
  <si>
    <t xml:space="preserve">Mark roads impassable during snow/mud/flood season</t>
  </si>
  <si>
    <t xml:space="preserve">Road + climate zone + elevation</t>
  </si>
  <si>
    <t xml:space="preserve">Seasonal closure months</t>
  </si>
  <si>
    <t xml:space="preserve">Regional climate model</t>
  </si>
  <si>
    <t xml:space="preserve">compute_base_passability</t>
  </si>
  <si>
    <t xml:space="preserve">Default passability by surface + width + slope + vehicle</t>
  </si>
  <si>
    <t xml:space="preserve">Road attributes + vehicle type</t>
  </si>
  <si>
    <t xml:space="preserve">Passability 0-1</t>
  </si>
  <si>
    <t xml:space="preserve">Weighted factor model</t>
  </si>
  <si>
    <t xml:space="preserve">adjust_for_weather</t>
  </si>
  <si>
    <t xml:space="preserve">Modify passability for snow/ice/rain/wind</t>
  </si>
  <si>
    <t xml:space="preserve">Base passability + weather</t>
  </si>
  <si>
    <t xml:space="preserve">Weather-adjusted passability</t>
  </si>
  <si>
    <t xml:space="preserve">Condition multipliers</t>
  </si>
  <si>
    <t xml:space="preserve">adjust_for_damage</t>
  </si>
  <si>
    <t xml:space="preserve">Modify passability for debris/collapse/flood</t>
  </si>
  <si>
    <t xml:space="preserve">Passability + damage reports</t>
  </si>
  <si>
    <t xml:space="preserve">Damage-adjusted passability</t>
  </si>
  <si>
    <t xml:space="preserve">Obstruction multipliers</t>
  </si>
  <si>
    <t xml:space="preserve">generate_passability_grid</t>
  </si>
  <si>
    <t xml:space="preserve">8-direction traversability raster from road scores</t>
  </si>
  <si>
    <t xml:space="preserve">Road passability + terrain</t>
  </si>
  <si>
    <t xml:space="preserve">Traversability raster</t>
  </si>
  <si>
    <t xml:space="preserve">Serve</t>
  </si>
  <si>
    <t xml:space="preserve">Grid interpolation</t>
  </si>
  <si>
    <t xml:space="preserve">update_passability_realtime</t>
  </si>
  <si>
    <t xml:space="preserve">Live passability update from event stream</t>
  </si>
  <si>
    <t xml:space="preserve">NATS obstruction events</t>
  </si>
  <si>
    <t xml:space="preserve">Updated passability scores</t>
  </si>
  <si>
    <t xml:space="preserve">Event-driven recalc</t>
  </si>
  <si>
    <t xml:space="preserve">Infrastructure Detection</t>
  </si>
  <si>
    <t xml:space="preserve">detect_power_substations</t>
  </si>
  <si>
    <t xml:space="preserve">Locate substations from satellite + LiDAR</t>
  </si>
  <si>
    <t xml:space="preserve">Satellite imagery + LiDAR nDSM</t>
  </si>
  <si>
    <t xml:space="preserve">Substation point + footprint</t>
  </si>
  <si>
    <t xml:space="preserve">Object detection CNN</t>
  </si>
  <si>
    <t xml:space="preserve">Infra</t>
  </si>
  <si>
    <t xml:space="preserve">map_transmission_lines</t>
  </si>
  <si>
    <t xml:space="preserve">Connect detected poles into line network</t>
  </si>
  <si>
    <t xml:space="preserve">Power pole points + wire points</t>
  </si>
  <si>
    <t xml:space="preserve">Transmission line vectors</t>
  </si>
  <si>
    <t xml:space="preserve">Minimum spanning tree</t>
  </si>
  <si>
    <t xml:space="preserve">map_gas_pipelines</t>
  </si>
  <si>
    <t xml:space="preserve">Pipeline centerlines from PHMSA + utility GIS</t>
  </si>
  <si>
    <t xml:space="preserve">PHMSA database + local GIS</t>
  </si>
  <si>
    <t xml:space="preserve">Pipeline vector network</t>
  </si>
  <si>
    <t xml:space="preserve">Vector merge</t>
  </si>
  <si>
    <t xml:space="preserve">map_water_mains</t>
  </si>
  <si>
    <t xml:space="preserve">Water infrastructure from utility GIS</t>
  </si>
  <si>
    <t xml:space="preserve">Municipal GIS data</t>
  </si>
  <si>
    <t xml:space="preserve">Water main vectors</t>
  </si>
  <si>
    <t xml:space="preserve">Vector ingest</t>
  </si>
  <si>
    <t xml:space="preserve">detect_water_towers</t>
  </si>
  <si>
    <t xml:space="preserve">Locate water towers from LiDAR + satellite</t>
  </si>
  <si>
    <t xml:space="preserve">nDSM + satellite</t>
  </si>
  <si>
    <t xml:space="preserve">Tower point + capacity est</t>
  </si>
  <si>
    <t xml:space="preserve">Height anomaly + shape match</t>
  </si>
  <si>
    <t xml:space="preserve">ingest_hazmat_facilities</t>
  </si>
  <si>
    <t xml:space="preserve">EPA TRI/RMP hazardous material sites</t>
  </si>
  <si>
    <t xml:space="preserve">EPA database API</t>
  </si>
  <si>
    <t xml:space="preserve">HAZMAT point + chemical list</t>
  </si>
  <si>
    <t xml:space="preserve">API fetch + geocode</t>
  </si>
  <si>
    <t xml:space="preserve">compute_hazmat_risk_zones</t>
  </si>
  <si>
    <t xml:space="preserve">Buffer zones around hazardous facilities</t>
  </si>
  <si>
    <t xml:space="preserve">HAZMAT points + chemical type</t>
  </si>
  <si>
    <t xml:space="preserve">Risk zone polygons (tiered)</t>
  </si>
  <si>
    <t xml:space="preserve">ALOHA / buffer distance model</t>
  </si>
  <si>
    <t xml:space="preserve">ingest_dam_levee_data</t>
  </si>
  <si>
    <t xml:space="preserve">NID/NLD dam and levee inventory</t>
  </si>
  <si>
    <t xml:space="preserve">NID/NLD database</t>
  </si>
  <si>
    <t xml:space="preserve">Dam/levee points + attributes</t>
  </si>
  <si>
    <t xml:space="preserve">Database fetch</t>
  </si>
  <si>
    <t xml:space="preserve">compute_dam_failure_zones</t>
  </si>
  <si>
    <t xml:space="preserve">Downstream inundation from dam breach</t>
  </si>
  <si>
    <t xml:space="preserve">Dam location + DEM + volume</t>
  </si>
  <si>
    <t xml:space="preserve">Failure flood polygon</t>
  </si>
  <si>
    <t xml:space="preserve">Simplified breach model</t>
  </si>
  <si>
    <t xml:space="preserve">ingest_jurisdiction_boundaries</t>
  </si>
  <si>
    <t xml:space="preserve">Fire, police, county, state, federal boundaries</t>
  </si>
  <si>
    <t xml:space="preserve">Census TIGER + state GIS</t>
  </si>
  <si>
    <t xml:space="preserve">Jurisdiction polygon layers</t>
  </si>
  <si>
    <t xml:space="preserve">Population &amp; Vulnerability Estimation</t>
  </si>
  <si>
    <t xml:space="preserve">ingest_census_block_data</t>
  </si>
  <si>
    <t xml:space="preserve">ACS population, age, disability, vehicle, language</t>
  </si>
  <si>
    <t xml:space="preserve">Census API</t>
  </si>
  <si>
    <t xml:space="preserve">Block-level attribute table</t>
  </si>
  <si>
    <t xml:space="preserve">Census API fetch</t>
  </si>
  <si>
    <t xml:space="preserve">Population</t>
  </si>
  <si>
    <t xml:space="preserve">ingest_landscan_population</t>
  </si>
  <si>
    <t xml:space="preserve">Daytime/nighttime ambient population grid</t>
  </si>
  <si>
    <t xml:space="preserve">ORNL LandScan</t>
  </si>
  <si>
    <t xml:space="preserve">Population density raster</t>
  </si>
  <si>
    <t xml:space="preserve">Raster download</t>
  </si>
  <si>
    <t xml:space="preserve">compute_building_population</t>
  </si>
  <si>
    <t xml:space="preserve">Distribute block pop to buildings by occupancy</t>
  </si>
  <si>
    <t xml:space="preserve">Block pop + building occupancy</t>
  </si>
  <si>
    <t xml:space="preserve">Persons per building estimate</t>
  </si>
  <si>
    <t xml:space="preserve">Dasymetric disaggregation</t>
  </si>
  <si>
    <t xml:space="preserve">compute_cdc_svi_per_building</t>
  </si>
  <si>
    <t xml:space="preserve">Social vulnerability score per structure</t>
  </si>
  <si>
    <t xml:space="preserve">CDC SVI + building location</t>
  </si>
  <si>
    <t xml:space="preserve">SVI score per building</t>
  </si>
  <si>
    <t xml:space="preserve">Spatial join</t>
  </si>
  <si>
    <t xml:space="preserve">flag_vulnerable_populations</t>
  </si>
  <si>
    <t xml:space="preserve">Elderly, disabled, carless, non-English by block</t>
  </si>
  <si>
    <t xml:space="preserve">Census ACS attributes</t>
  </si>
  <si>
    <t xml:space="preserve">Vulnerability flags per block</t>
  </si>
  <si>
    <t xml:space="preserve">Threshold flags</t>
  </si>
  <si>
    <t xml:space="preserve">estimate_tourist_population</t>
  </si>
  <si>
    <t xml:space="preserve">Transient population from hotels, events</t>
  </si>
  <si>
    <t xml:space="preserve">Hotel locations + event calendar</t>
  </si>
  <si>
    <t xml:space="preserve">Tourist density estimate</t>
  </si>
  <si>
    <t xml:space="preserve">Seasonal occupancy model</t>
  </si>
  <si>
    <t xml:space="preserve">Multi-Source Fusion &amp; Confidence Scoring</t>
  </si>
  <si>
    <t xml:space="preserve">compute_source_confidence</t>
  </si>
  <si>
    <t xml:space="preserve">Individual source quality score</t>
  </si>
  <si>
    <t xml:space="preserve">Source metadata + resolution + age</t>
  </si>
  <si>
    <t xml:space="preserve">Confidence 0-1 per source</t>
  </si>
  <si>
    <t xml:space="preserve">Resolution + recency + completeness</t>
  </si>
  <si>
    <t xml:space="preserve">Fusion</t>
  </si>
  <si>
    <t xml:space="preserve">fuse_multi_source_footprints</t>
  </si>
  <si>
    <t xml:space="preserve">Merge LiDAR + satellite + OSM footprints</t>
  </si>
  <si>
    <t xml:space="preserve">Multiple footprint sets</t>
  </si>
  <si>
    <t xml:space="preserve">Best footprint per building</t>
  </si>
  <si>
    <t xml:space="preserve">Weighted by confidence + IOU</t>
  </si>
  <si>
    <t xml:space="preserve">fuse_height_estimates</t>
  </si>
  <si>
    <t xml:space="preserve">Merge LiDAR height + shadow height + assessor</t>
  </si>
  <si>
    <t xml:space="preserve">Multiple height values</t>
  </si>
  <si>
    <t xml:space="preserve">Best height per building</t>
  </si>
  <si>
    <t xml:space="preserve">Confidence-weighted average</t>
  </si>
  <si>
    <t xml:space="preserve">fuse_material_labels</t>
  </si>
  <si>
    <t xml:space="preserve">Merge CV + assessor + age-inferred material</t>
  </si>
  <si>
    <t xml:space="preserve">Multiple material labels</t>
  </si>
  <si>
    <t xml:space="preserve">Final material + confidence</t>
  </si>
  <si>
    <t xml:space="preserve">fuse_road_attributes</t>
  </si>
  <si>
    <t xml:space="preserve">Merge OSM + TIGER + LiDAR + satellite road data</t>
  </si>
  <si>
    <t xml:space="preserve">Multiple attribute sources</t>
  </si>
  <si>
    <t xml:space="preserve">Best attribute per segment</t>
  </si>
  <si>
    <t xml:space="preserve">Source priority hierarchy</t>
  </si>
  <si>
    <t xml:space="preserve">flag_low_confidence_features</t>
  </si>
  <si>
    <t xml:space="preserve">Mark features below quality threshold</t>
  </si>
  <si>
    <t xml:space="preserve">Any feature + confidence</t>
  </si>
  <si>
    <t xml:space="preserve">Review queue entries</t>
  </si>
  <si>
    <t xml:space="preserve">Threshold &lt; 0.4</t>
  </si>
  <si>
    <t xml:space="preserve">compute_tile_health_score</t>
  </si>
  <si>
    <t xml:space="preserve">Overall quality of a 1km tile</t>
  </si>
  <si>
    <t xml:space="preserve">All features + confidences</t>
  </si>
  <si>
    <t xml:space="preserve">Health % per tile</t>
  </si>
  <si>
    <t xml:space="preserve">Coverage * freshness * confidence</t>
  </si>
  <si>
    <t xml:space="preserve">Digital Twin State Management</t>
  </si>
  <si>
    <t xml:space="preserve">initialize_twin_state</t>
  </si>
  <si>
    <t xml:space="preserve">Bootstrap tile state from full extraction</t>
  </si>
  <si>
    <t xml:space="preserve">All extracted features</t>
  </si>
  <si>
    <t xml:space="preserve">State v1 snapshot</t>
  </si>
  <si>
    <t xml:space="preserve">Bulk insert to PostGIS</t>
  </si>
  <si>
    <t xml:space="preserve">Twin</t>
  </si>
  <si>
    <t xml:space="preserve">apply_attribute_update</t>
  </si>
  <si>
    <t xml:space="preserve">Merge new extraction into existing state</t>
  </si>
  <si>
    <t xml:space="preserve">New features + current version</t>
  </si>
  <si>
    <t xml:space="preserve">Updated state + new version</t>
  </si>
  <si>
    <t xml:space="preserve">Diff + merge + version bump</t>
  </si>
  <si>
    <t xml:space="preserve">apply_realtime_update</t>
  </si>
  <si>
    <t xml:space="preserve">Transient update from live event</t>
  </si>
  <si>
    <t xml:space="preserve">Street-level perception change</t>
  </si>
  <si>
    <t xml:space="preserve">Updated state (no version bump)</t>
  </si>
  <si>
    <t xml:space="preserve">Hot patch + TTL</t>
  </si>
  <si>
    <t xml:space="preserve">apply_post_event_update</t>
  </si>
  <si>
    <t xml:space="preserve">Major update from post-disaster resurvey</t>
  </si>
  <si>
    <t xml:space="preserve">Post-event extraction</t>
  </si>
  <si>
    <t xml:space="preserve">Full re-extraction + diff</t>
  </si>
  <si>
    <t xml:space="preserve">create_version_snapshot</t>
  </si>
  <si>
    <t xml:space="preserve">Immutable checkpoint of current state</t>
  </si>
  <si>
    <t xml:space="preserve">Current state</t>
  </si>
  <si>
    <t xml:space="preserve">Frozen version</t>
  </si>
  <si>
    <t xml:space="preserve">Copy-on-write snapshot</t>
  </si>
  <si>
    <t xml:space="preserve">rollback_to_version</t>
  </si>
  <si>
    <t xml:space="preserve">Restore previous state version</t>
  </si>
  <si>
    <t xml:space="preserve">Target version ID</t>
  </si>
  <si>
    <t xml:space="preserve">Reverted state</t>
  </si>
  <si>
    <t xml:space="preserve">Version restore from archive</t>
  </si>
  <si>
    <t xml:space="preserve">query_state_at_time</t>
  </si>
  <si>
    <t xml:space="preserve">Time-travel query for historical state</t>
  </si>
  <si>
    <t xml:space="preserve">Tile ID + timestamp</t>
  </si>
  <si>
    <t xml:space="preserve">State as of that time</t>
  </si>
  <si>
    <t xml:space="preserve">Version range scan</t>
  </si>
  <si>
    <t xml:space="preserve">compute_state_diff</t>
  </si>
  <si>
    <t xml:space="preserve">What changed between two versions</t>
  </si>
  <si>
    <t xml:space="preserve">Old version + new version</t>
  </si>
  <si>
    <t xml:space="preserve">Diff of changed attributes</t>
  </si>
  <si>
    <t xml:space="preserve">Attribute comparison</t>
  </si>
  <si>
    <t xml:space="preserve">detect_state_anomaly</t>
  </si>
  <si>
    <t xml:space="preserve">Flag suspicious state changes</t>
  </si>
  <si>
    <t xml:space="preserve">New attribute values</t>
  </si>
  <si>
    <t xml:space="preserve">Anomaly score</t>
  </si>
  <si>
    <t xml:space="preserve">Statistical outlier detection</t>
  </si>
  <si>
    <t xml:space="preserve">propagate_state_to_tiles</t>
  </si>
  <si>
    <t xml:space="preserve">Trigger tile re-composition after state change</t>
  </si>
  <si>
    <t xml:space="preserve">Changed tile IDs</t>
  </si>
  <si>
    <t xml:space="preserve">Tile rebuild queue</t>
  </si>
  <si>
    <t xml:space="preserve">NATS publish + worker</t>
  </si>
  <si>
    <t xml:space="preserve">Tile Generation &amp; Delivery</t>
  </si>
  <si>
    <t xml:space="preserve">compose_vector_tile</t>
  </si>
  <si>
    <t xml:space="preserve">Package features into Mapbox Vector Tile</t>
  </si>
  <si>
    <t xml:space="preserve">Building/road/veg/infra features per tile</t>
  </si>
  <si>
    <t xml:space="preserve">MVT protobuf</t>
  </si>
  <si>
    <t xml:space="preserve">Tippecanoe / custom encoder</t>
  </si>
  <si>
    <t xml:space="preserve">Tile</t>
  </si>
  <si>
    <t xml:space="preserve">build_pmtiles_archive</t>
  </si>
  <si>
    <t xml:space="preserve">Single-file tile archive for CDN delivery</t>
  </si>
  <si>
    <t xml:space="preserve">All MVT tiles (z0-z16)</t>
  </si>
  <si>
    <t xml:space="preserve">PMTiles file</t>
  </si>
  <si>
    <t xml:space="preserve">PMTiles writer</t>
  </si>
  <si>
    <t xml:space="preserve">upload_to_r2</t>
  </si>
  <si>
    <t xml:space="preserve">Push PMTiles to Cloudflare R2 bucket</t>
  </si>
  <si>
    <t xml:space="preserve">CDN URL</t>
  </si>
  <si>
    <t xml:space="preserve">S3 API upload</t>
  </si>
  <si>
    <t xml:space="preserve">generate_3d_terrain_tiles</t>
  </si>
  <si>
    <t xml:space="preserve">Quantized mesh tiles for CesiumJS</t>
  </si>
  <si>
    <t xml:space="preserve">Terrain tileset</t>
  </si>
  <si>
    <t xml:space="preserve">Cesium terrain builder</t>
  </si>
  <si>
    <t xml:space="preserve">generate_offline_cache_bundle</t>
  </si>
  <si>
    <t xml:space="preserve">Pre-packaged tile bundle for device caching</t>
  </si>
  <si>
    <t xml:space="preserve">PMTiles + bbox + zoom range</t>
  </si>
  <si>
    <t xml:space="preserve">Offline bundle file</t>
  </si>
  <si>
    <t xml:space="preserve">Tile range extract</t>
  </si>
  <si>
    <t xml:space="preserve">invalidate_cdn_cache</t>
  </si>
  <si>
    <t xml:space="preserve">Purge stale tiles after state update</t>
  </si>
  <si>
    <t xml:space="preserve">CDN purge request</t>
  </si>
  <si>
    <t xml:space="preserve">R2 cache purge API</t>
  </si>
  <si>
    <t xml:space="preserve">Operations Summary</t>
  </si>
  <si>
    <t xml:space="preserve">Category</t>
  </si>
  <si>
    <t xml:space="preserve">Count</t>
  </si>
  <si>
    <t xml:space="preserve">Notes</t>
  </si>
  <si>
    <t xml:space="preserve">Total Operations</t>
  </si>
  <si>
    <t xml:space="preserve">Individual atomic scripts/functions</t>
  </si>
  <si>
    <t xml:space="preserve">LiDAR Blind Spot Analysis</t>
  </si>
  <si>
    <t xml:space="preserve">Scan angle, shadow, gap, artifact detection</t>
  </si>
  <si>
    <t xml:space="preserve">Buildings, trees, roads, power, terrain from points</t>
  </si>
  <si>
    <t xml:space="preserve">Spectral indices, segmentation, classification</t>
  </si>
  <si>
    <t xml:space="preserve">Street-View / CV</t>
  </si>
  <si>
    <t xml:space="preserve">Material, purpose, damage, hydrant, gate detection</t>
  </si>
  <si>
    <t xml:space="preserve">I-JEPA Self-Supervised</t>
  </si>
  <si>
    <t xml:space="preserve">Pretrain, encode, cluster, transfer, cross-modal</t>
  </si>
  <si>
    <t xml:space="preserve">Terrain Derivatives</t>
  </si>
  <si>
    <t xml:space="preserve">Slope, flow, HAND, watershed, soil, hazard susceptibility</t>
  </si>
  <si>
    <t xml:space="preserve">Vegetation &amp; Fuel</t>
  </si>
  <si>
    <t xml:space="preserve">Species, fuel load, moisture, flammability, snags</t>
  </si>
  <si>
    <t xml:space="preserve">Building Attributes</t>
  </si>
  <si>
    <t xml:space="preserve">Footprint, height, material, purpose, vulnerability</t>
  </si>
  <si>
    <t xml:space="preserve">Road Network</t>
  </si>
  <si>
    <t xml:space="preserve">Graph, width, surface, passability, real-time update</t>
  </si>
  <si>
    <t xml:space="preserve">Infrastructure</t>
  </si>
  <si>
    <t xml:space="preserve">Power, gas, water, HAZMAT, dams, jurisdictions</t>
  </si>
  <si>
    <t xml:space="preserve">Census, LandScan, SVI, vulnerability flags</t>
  </si>
  <si>
    <t xml:space="preserve">Fusion &amp; Confidence</t>
  </si>
  <si>
    <t xml:space="preserve">Multi-source merge, quality scoring, review queue</t>
  </si>
  <si>
    <t xml:space="preserve">Digital Twin State</t>
  </si>
  <si>
    <t xml:space="preserve">Version control, rollback, time-travel, anomaly</t>
  </si>
  <si>
    <t xml:space="preserve">Tile Delivery</t>
  </si>
  <si>
    <t xml:space="preserve">MVT, PMTiles, R2, offline bundles, cache purge</t>
  </si>
  <si>
    <t xml:space="preserve">ML Models Used</t>
  </si>
  <si>
    <t xml:space="preserve">  RandLA-Net</t>
  </si>
  <si>
    <t xml:space="preserve">LiDAR point classification</t>
  </si>
  <si>
    <t xml:space="preserve">  PointNet++</t>
  </si>
  <si>
    <t xml:space="preserve">Building attributes from point cloud</t>
  </si>
  <si>
    <t xml:space="preserve">  Mask R-CNN (ResNet-101)</t>
  </si>
  <si>
    <t xml:space="preserve">Building footprint detection from LiDAR DSM</t>
  </si>
  <si>
    <t xml:space="preserve">  U-Net (EfficientNet-B4)</t>
  </si>
  <si>
    <t xml:space="preserve">Building segmentation from satellite</t>
  </si>
  <si>
    <t xml:space="preserve">  D-LinkNet</t>
  </si>
  <si>
    <t xml:space="preserve">Road segmentation from satellite</t>
  </si>
  <si>
    <t xml:space="preserve">  ResNet-50</t>
  </si>
  <si>
    <t xml:space="preserve">Material, surface, roof classification from street-view</t>
  </si>
  <si>
    <t xml:space="preserve">  EfficientNet-B3</t>
  </si>
  <si>
    <t xml:space="preserve">Building purpose from signage/logos</t>
  </si>
  <si>
    <t xml:space="preserve">  YOLO</t>
  </si>
  <si>
    <t xml:space="preserve">Gate, barrier, cell tower, vehicle detection</t>
  </si>
  <si>
    <t xml:space="preserve">  MobileNet + TFLite</t>
  </si>
  <si>
    <t xml:space="preserve">Face/plate detection for privacy</t>
  </si>
  <si>
    <t xml:space="preserve">  I-JEPA (ViT-L/16)</t>
  </si>
  <si>
    <t xml:space="preserve">Self-supervised geospatial embeddings</t>
  </si>
  <si>
    <t xml:space="preserve">  Random Forest</t>
  </si>
  <si>
    <t xml:space="preserve">Land cover, tree species classification</t>
  </si>
  <si>
    <t xml:space="preserve">  Logistic Regression</t>
  </si>
  <si>
    <t xml:space="preserve">Landslide susceptibility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</si>
</sst>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F72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4F72"/>
      <name val="Arial"/>
      <family val="0"/>
      <charset val="1"/>
    </font>
    <font>
      <sz val="9"/>
      <color rgb="FF2C3E50"/>
      <name val="Arial"/>
      <family val="0"/>
      <charset val="1"/>
    </font>
    <font>
      <sz val="8"/>
      <color rgb="FF8E44AD"/>
      <name val="Courier New"/>
      <family val="0"/>
      <charset val="1"/>
    </font>
    <font>
      <b val="true"/>
      <sz val="8"/>
      <color rgb="FF2C3E50"/>
      <name val="Arial"/>
      <family val="0"/>
      <charset val="1"/>
    </font>
    <font>
      <sz val="8"/>
      <color rgb="FF8E44AD"/>
      <name val="Arial"/>
      <family val="0"/>
      <charset val="1"/>
    </font>
    <font>
      <b val="true"/>
      <sz val="9"/>
      <color rgb="FF2C3E5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4F72"/>
        <bgColor rgb="FF2C3E50"/>
      </patternFill>
    </fill>
    <fill>
      <patternFill patternType="solid">
        <fgColor rgb="FFD4E6F1"/>
        <bgColor rgb="FFD6EAF8"/>
      </patternFill>
    </fill>
    <fill>
      <patternFill patternType="solid">
        <fgColor rgb="FFFADBD8"/>
        <bgColor rgb="FFE8DAEF"/>
      </patternFill>
    </fill>
    <fill>
      <patternFill patternType="solid">
        <fgColor rgb="FFF9E79F"/>
        <bgColor rgb="FFFDEBD0"/>
      </patternFill>
    </fill>
    <fill>
      <patternFill patternType="solid">
        <fgColor rgb="FFD6EAF8"/>
        <bgColor rgb="FFD4E6F1"/>
      </patternFill>
    </fill>
    <fill>
      <patternFill patternType="solid">
        <fgColor rgb="FFD5DBDB"/>
        <bgColor rgb="FFD4E6F1"/>
      </patternFill>
    </fill>
    <fill>
      <patternFill patternType="solid">
        <fgColor rgb="FFD5F5E3"/>
        <bgColor rgb="FFD6EAF8"/>
      </patternFill>
    </fill>
    <fill>
      <patternFill patternType="solid">
        <fgColor rgb="FFFDEBD0"/>
        <bgColor rgb="FFFADBD8"/>
      </patternFill>
    </fill>
    <fill>
      <patternFill patternType="solid">
        <fgColor rgb="FFE8DAEF"/>
        <bgColor rgb="FFD5DBDB"/>
      </patternFill>
    </fill>
    <fill>
      <patternFill patternType="solid">
        <fgColor rgb="FFAED6F1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8C8D"/>
      <rgbColor rgb="FF9999FF"/>
      <rgbColor rgb="FF8E44AD"/>
      <rgbColor rgb="FFFDEBD0"/>
      <rgbColor rgb="FFD6EAF8"/>
      <rgbColor rgb="FF660066"/>
      <rgbColor rgb="FFFF8080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6F1"/>
      <rgbColor rgb="FFD5F5E3"/>
      <rgbColor rgb="FFF9E79F"/>
      <rgbColor rgb="FFAED6F1"/>
      <rgbColor rgb="FFFF99CC"/>
      <rgbColor rgb="FFE8DAE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5" min="4" style="0" width="28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customFormat="false" ht="21.75" hidden="false" customHeight="true" outlineLevel="0" collapsed="false">
      <c r="A6" s="4" t="s">
        <v>10</v>
      </c>
      <c r="B6" s="4"/>
      <c r="C6" s="4"/>
      <c r="D6" s="4"/>
      <c r="E6" s="4"/>
      <c r="F6" s="4"/>
      <c r="G6" s="4"/>
      <c r="H6" s="4"/>
    </row>
    <row r="7" customFormat="false" ht="30" hidden="false" customHeight="true" outlineLevel="0" collapsed="false">
      <c r="A7" s="5" t="n">
        <v>1</v>
      </c>
      <c r="B7" s="6" t="s">
        <v>11</v>
      </c>
      <c r="C7" s="7" t="s">
        <v>12</v>
      </c>
      <c r="D7" s="7" t="s">
        <v>13</v>
      </c>
      <c r="E7" s="7" t="s">
        <v>14</v>
      </c>
      <c r="F7" s="8" t="s">
        <v>15</v>
      </c>
      <c r="G7" s="9" t="s">
        <v>16</v>
      </c>
      <c r="H7" s="5" t="s">
        <v>17</v>
      </c>
    </row>
    <row r="8" customFormat="false" ht="30" hidden="false" customHeight="true" outlineLevel="0" collapsed="false">
      <c r="A8" s="5" t="n">
        <v>2</v>
      </c>
      <c r="B8" s="6" t="s">
        <v>18</v>
      </c>
      <c r="C8" s="7" t="s">
        <v>19</v>
      </c>
      <c r="D8" s="7" t="s">
        <v>20</v>
      </c>
      <c r="E8" s="7" t="s">
        <v>21</v>
      </c>
      <c r="F8" s="8" t="s">
        <v>15</v>
      </c>
      <c r="G8" s="9" t="s">
        <v>22</v>
      </c>
      <c r="H8" s="5" t="s">
        <v>17</v>
      </c>
    </row>
    <row r="9" customFormat="false" ht="30" hidden="false" customHeight="true" outlineLevel="0" collapsed="false">
      <c r="A9" s="5" t="n">
        <v>3</v>
      </c>
      <c r="B9" s="6" t="s">
        <v>23</v>
      </c>
      <c r="C9" s="7" t="s">
        <v>24</v>
      </c>
      <c r="D9" s="7" t="s">
        <v>25</v>
      </c>
      <c r="E9" s="7" t="s">
        <v>26</v>
      </c>
      <c r="F9" s="10" t="s">
        <v>27</v>
      </c>
      <c r="G9" s="9" t="s">
        <v>28</v>
      </c>
      <c r="H9" s="5" t="s">
        <v>17</v>
      </c>
    </row>
    <row r="10" customFormat="false" ht="30" hidden="false" customHeight="true" outlineLevel="0" collapsed="false">
      <c r="A10" s="5" t="n">
        <v>4</v>
      </c>
      <c r="B10" s="6" t="s">
        <v>29</v>
      </c>
      <c r="C10" s="7" t="s">
        <v>30</v>
      </c>
      <c r="D10" s="7" t="s">
        <v>31</v>
      </c>
      <c r="E10" s="7" t="s">
        <v>32</v>
      </c>
      <c r="F10" s="10" t="s">
        <v>27</v>
      </c>
      <c r="G10" s="9" t="s">
        <v>33</v>
      </c>
      <c r="H10" s="5" t="s">
        <v>17</v>
      </c>
    </row>
    <row r="11" customFormat="false" ht="30" hidden="false" customHeight="true" outlineLevel="0" collapsed="false">
      <c r="A11" s="5" t="n">
        <v>5</v>
      </c>
      <c r="B11" s="6" t="s">
        <v>34</v>
      </c>
      <c r="C11" s="7" t="s">
        <v>35</v>
      </c>
      <c r="D11" s="7" t="s">
        <v>36</v>
      </c>
      <c r="E11" s="7" t="s">
        <v>37</v>
      </c>
      <c r="F11" s="10" t="s">
        <v>27</v>
      </c>
      <c r="G11" s="9" t="s">
        <v>38</v>
      </c>
      <c r="H11" s="5" t="s">
        <v>17</v>
      </c>
    </row>
    <row r="12" customFormat="false" ht="30" hidden="false" customHeight="true" outlineLevel="0" collapsed="false">
      <c r="A12" s="5" t="n">
        <v>6</v>
      </c>
      <c r="B12" s="6" t="s">
        <v>39</v>
      </c>
      <c r="C12" s="7" t="s">
        <v>40</v>
      </c>
      <c r="D12" s="7" t="s">
        <v>41</v>
      </c>
      <c r="E12" s="7" t="s">
        <v>42</v>
      </c>
      <c r="F12" s="10" t="s">
        <v>27</v>
      </c>
      <c r="G12" s="9" t="s">
        <v>43</v>
      </c>
      <c r="H12" s="5" t="s">
        <v>17</v>
      </c>
    </row>
    <row r="13" customFormat="false" ht="30" hidden="false" customHeight="true" outlineLevel="0" collapsed="false">
      <c r="A13" s="5" t="n">
        <v>7</v>
      </c>
      <c r="B13" s="6" t="s">
        <v>44</v>
      </c>
      <c r="C13" s="7" t="s">
        <v>45</v>
      </c>
      <c r="D13" s="7" t="s">
        <v>46</v>
      </c>
      <c r="E13" s="7" t="s">
        <v>47</v>
      </c>
      <c r="F13" s="11" t="s">
        <v>48</v>
      </c>
      <c r="G13" s="9" t="s">
        <v>49</v>
      </c>
      <c r="H13" s="5" t="s">
        <v>17</v>
      </c>
    </row>
    <row r="14" customFormat="false" ht="30" hidden="false" customHeight="true" outlineLevel="0" collapsed="false">
      <c r="A14" s="5" t="n">
        <v>8</v>
      </c>
      <c r="B14" s="6" t="s">
        <v>50</v>
      </c>
      <c r="C14" s="7" t="s">
        <v>51</v>
      </c>
      <c r="D14" s="7" t="s">
        <v>47</v>
      </c>
      <c r="E14" s="7" t="s">
        <v>52</v>
      </c>
      <c r="F14" s="11" t="s">
        <v>48</v>
      </c>
      <c r="G14" s="9" t="s">
        <v>53</v>
      </c>
      <c r="H14" s="5" t="s">
        <v>17</v>
      </c>
    </row>
    <row r="15" customFormat="false" ht="30" hidden="false" customHeight="true" outlineLevel="0" collapsed="false">
      <c r="A15" s="5" t="n">
        <v>9</v>
      </c>
      <c r="B15" s="6" t="s">
        <v>54</v>
      </c>
      <c r="C15" s="7" t="s">
        <v>55</v>
      </c>
      <c r="D15" s="7" t="s">
        <v>47</v>
      </c>
      <c r="E15" s="7" t="s">
        <v>56</v>
      </c>
      <c r="F15" s="12" t="s">
        <v>57</v>
      </c>
      <c r="G15" s="9" t="s">
        <v>58</v>
      </c>
      <c r="H15" s="5" t="s">
        <v>17</v>
      </c>
    </row>
    <row r="16" customFormat="false" ht="21.75" hidden="false" customHeight="true" outlineLevel="0" collapsed="false">
      <c r="A16" s="4" t="s">
        <v>59</v>
      </c>
      <c r="B16" s="4"/>
      <c r="C16" s="4"/>
      <c r="D16" s="4"/>
      <c r="E16" s="4"/>
      <c r="F16" s="4"/>
      <c r="G16" s="4"/>
      <c r="H16" s="4"/>
    </row>
    <row r="17" customFormat="false" ht="30" hidden="false" customHeight="true" outlineLevel="0" collapsed="false">
      <c r="A17" s="5" t="n">
        <v>10</v>
      </c>
      <c r="B17" s="6" t="s">
        <v>60</v>
      </c>
      <c r="C17" s="7" t="s">
        <v>61</v>
      </c>
      <c r="D17" s="7" t="s">
        <v>62</v>
      </c>
      <c r="E17" s="7" t="s">
        <v>63</v>
      </c>
      <c r="F17" s="13" t="s">
        <v>64</v>
      </c>
      <c r="G17" s="9" t="s">
        <v>65</v>
      </c>
      <c r="H17" s="5" t="s">
        <v>17</v>
      </c>
    </row>
    <row r="18" customFormat="false" ht="30" hidden="false" customHeight="true" outlineLevel="0" collapsed="false">
      <c r="A18" s="5" t="n">
        <v>11</v>
      </c>
      <c r="B18" s="6" t="s">
        <v>66</v>
      </c>
      <c r="C18" s="7" t="s">
        <v>67</v>
      </c>
      <c r="D18" s="7" t="s">
        <v>68</v>
      </c>
      <c r="E18" s="7" t="s">
        <v>69</v>
      </c>
      <c r="F18" s="13" t="s">
        <v>64</v>
      </c>
      <c r="G18" s="9" t="s">
        <v>70</v>
      </c>
      <c r="H18" s="5" t="s">
        <v>17</v>
      </c>
    </row>
    <row r="19" customFormat="false" ht="30" hidden="false" customHeight="true" outlineLevel="0" collapsed="false">
      <c r="A19" s="5" t="n">
        <v>12</v>
      </c>
      <c r="B19" s="6" t="s">
        <v>71</v>
      </c>
      <c r="C19" s="7" t="s">
        <v>72</v>
      </c>
      <c r="D19" s="7" t="s">
        <v>73</v>
      </c>
      <c r="E19" s="7" t="s">
        <v>74</v>
      </c>
      <c r="F19" s="12" t="s">
        <v>57</v>
      </c>
      <c r="G19" s="9" t="s">
        <v>75</v>
      </c>
      <c r="H19" s="5" t="s">
        <v>17</v>
      </c>
    </row>
    <row r="20" customFormat="false" ht="30" hidden="false" customHeight="true" outlineLevel="0" collapsed="false">
      <c r="A20" s="5" t="n">
        <v>13</v>
      </c>
      <c r="B20" s="6" t="s">
        <v>76</v>
      </c>
      <c r="C20" s="7" t="s">
        <v>77</v>
      </c>
      <c r="D20" s="7" t="s">
        <v>78</v>
      </c>
      <c r="E20" s="7" t="s">
        <v>79</v>
      </c>
      <c r="F20" s="12" t="s">
        <v>57</v>
      </c>
      <c r="G20" s="9" t="s">
        <v>80</v>
      </c>
      <c r="H20" s="5" t="s">
        <v>17</v>
      </c>
    </row>
    <row r="21" customFormat="false" ht="30" hidden="false" customHeight="true" outlineLevel="0" collapsed="false">
      <c r="A21" s="5" t="n">
        <v>14</v>
      </c>
      <c r="B21" s="6" t="s">
        <v>81</v>
      </c>
      <c r="C21" s="7" t="s">
        <v>82</v>
      </c>
      <c r="D21" s="7" t="s">
        <v>83</v>
      </c>
      <c r="E21" s="7" t="s">
        <v>84</v>
      </c>
      <c r="F21" s="12" t="s">
        <v>57</v>
      </c>
      <c r="G21" s="9" t="s">
        <v>85</v>
      </c>
      <c r="H21" s="5" t="s">
        <v>17</v>
      </c>
    </row>
    <row r="22" customFormat="false" ht="30" hidden="false" customHeight="true" outlineLevel="0" collapsed="false">
      <c r="A22" s="5" t="n">
        <v>15</v>
      </c>
      <c r="B22" s="6" t="s">
        <v>86</v>
      </c>
      <c r="C22" s="7" t="s">
        <v>87</v>
      </c>
      <c r="D22" s="7" t="s">
        <v>88</v>
      </c>
      <c r="E22" s="7" t="s">
        <v>89</v>
      </c>
      <c r="F22" s="14" t="s">
        <v>90</v>
      </c>
      <c r="G22" s="9" t="s">
        <v>91</v>
      </c>
      <c r="H22" s="5" t="s">
        <v>17</v>
      </c>
    </row>
    <row r="23" customFormat="false" ht="30" hidden="false" customHeight="true" outlineLevel="0" collapsed="false">
      <c r="A23" s="5" t="n">
        <v>16</v>
      </c>
      <c r="B23" s="6" t="s">
        <v>92</v>
      </c>
      <c r="C23" s="7" t="s">
        <v>93</v>
      </c>
      <c r="D23" s="7" t="s">
        <v>94</v>
      </c>
      <c r="E23" s="7" t="s">
        <v>95</v>
      </c>
      <c r="F23" s="12" t="s">
        <v>57</v>
      </c>
      <c r="G23" s="9" t="s">
        <v>96</v>
      </c>
      <c r="H23" s="5" t="s">
        <v>17</v>
      </c>
    </row>
    <row r="24" customFormat="false" ht="21.75" hidden="false" customHeight="true" outlineLevel="0" collapsed="false">
      <c r="A24" s="4" t="s">
        <v>97</v>
      </c>
      <c r="B24" s="4"/>
      <c r="C24" s="4"/>
      <c r="D24" s="4"/>
      <c r="E24" s="4"/>
      <c r="F24" s="4"/>
      <c r="G24" s="4"/>
      <c r="H24" s="4"/>
    </row>
    <row r="25" customFormat="false" ht="30" hidden="false" customHeight="true" outlineLevel="0" collapsed="false">
      <c r="A25" s="5" t="n">
        <v>17</v>
      </c>
      <c r="B25" s="6" t="s">
        <v>98</v>
      </c>
      <c r="C25" s="7" t="s">
        <v>99</v>
      </c>
      <c r="D25" s="7" t="s">
        <v>100</v>
      </c>
      <c r="E25" s="7" t="s">
        <v>101</v>
      </c>
      <c r="F25" s="13" t="s">
        <v>64</v>
      </c>
      <c r="G25" s="9" t="s">
        <v>102</v>
      </c>
      <c r="H25" s="5" t="s">
        <v>17</v>
      </c>
    </row>
    <row r="26" customFormat="false" ht="30" hidden="false" customHeight="true" outlineLevel="0" collapsed="false">
      <c r="A26" s="5" t="n">
        <v>18</v>
      </c>
      <c r="B26" s="6" t="s">
        <v>103</v>
      </c>
      <c r="C26" s="7" t="s">
        <v>104</v>
      </c>
      <c r="D26" s="7" t="s">
        <v>105</v>
      </c>
      <c r="E26" s="7" t="s">
        <v>106</v>
      </c>
      <c r="F26" s="13" t="s">
        <v>64</v>
      </c>
      <c r="G26" s="9" t="s">
        <v>107</v>
      </c>
      <c r="H26" s="5" t="s">
        <v>17</v>
      </c>
    </row>
    <row r="27" customFormat="false" ht="30" hidden="false" customHeight="true" outlineLevel="0" collapsed="false">
      <c r="A27" s="5" t="n">
        <v>19</v>
      </c>
      <c r="B27" s="6" t="s">
        <v>108</v>
      </c>
      <c r="C27" s="7" t="s">
        <v>109</v>
      </c>
      <c r="D27" s="7" t="s">
        <v>110</v>
      </c>
      <c r="E27" s="7" t="s">
        <v>111</v>
      </c>
      <c r="F27" s="13" t="s">
        <v>64</v>
      </c>
      <c r="G27" s="9" t="s">
        <v>112</v>
      </c>
      <c r="H27" s="5" t="s">
        <v>17</v>
      </c>
    </row>
    <row r="28" customFormat="false" ht="30" hidden="false" customHeight="true" outlineLevel="0" collapsed="false">
      <c r="A28" s="5" t="n">
        <v>20</v>
      </c>
      <c r="B28" s="6" t="s">
        <v>113</v>
      </c>
      <c r="C28" s="7" t="s">
        <v>114</v>
      </c>
      <c r="D28" s="7" t="s">
        <v>110</v>
      </c>
      <c r="E28" s="7" t="s">
        <v>115</v>
      </c>
      <c r="F28" s="13" t="s">
        <v>64</v>
      </c>
      <c r="G28" s="9" t="s">
        <v>112</v>
      </c>
      <c r="H28" s="5" t="s">
        <v>17</v>
      </c>
    </row>
    <row r="29" customFormat="false" ht="30" hidden="false" customHeight="true" outlineLevel="0" collapsed="false">
      <c r="A29" s="5" t="n">
        <v>21</v>
      </c>
      <c r="B29" s="6" t="s">
        <v>116</v>
      </c>
      <c r="C29" s="7" t="s">
        <v>117</v>
      </c>
      <c r="D29" s="7" t="s">
        <v>118</v>
      </c>
      <c r="E29" s="7" t="s">
        <v>119</v>
      </c>
      <c r="F29" s="13" t="s">
        <v>64</v>
      </c>
      <c r="G29" s="9" t="s">
        <v>120</v>
      </c>
      <c r="H29" s="5" t="s">
        <v>17</v>
      </c>
    </row>
    <row r="30" customFormat="false" ht="30" hidden="false" customHeight="true" outlineLevel="0" collapsed="false">
      <c r="A30" s="5" t="n">
        <v>22</v>
      </c>
      <c r="B30" s="6" t="s">
        <v>121</v>
      </c>
      <c r="C30" s="7" t="s">
        <v>122</v>
      </c>
      <c r="D30" s="7" t="s">
        <v>123</v>
      </c>
      <c r="E30" s="7" t="s">
        <v>124</v>
      </c>
      <c r="F30" s="13" t="s">
        <v>64</v>
      </c>
      <c r="G30" s="9" t="s">
        <v>125</v>
      </c>
      <c r="H30" s="5" t="s">
        <v>17</v>
      </c>
    </row>
    <row r="31" customFormat="false" ht="30" hidden="false" customHeight="true" outlineLevel="0" collapsed="false">
      <c r="A31" s="5" t="n">
        <v>23</v>
      </c>
      <c r="B31" s="6" t="s">
        <v>126</v>
      </c>
      <c r="C31" s="7" t="s">
        <v>127</v>
      </c>
      <c r="D31" s="7" t="s">
        <v>119</v>
      </c>
      <c r="E31" s="7" t="s">
        <v>128</v>
      </c>
      <c r="F31" s="13" t="s">
        <v>64</v>
      </c>
      <c r="G31" s="9" t="s">
        <v>129</v>
      </c>
      <c r="H31" s="5" t="s">
        <v>17</v>
      </c>
    </row>
    <row r="32" customFormat="false" ht="30" hidden="false" customHeight="true" outlineLevel="0" collapsed="false">
      <c r="A32" s="5" t="n">
        <v>24</v>
      </c>
      <c r="B32" s="6" t="s">
        <v>130</v>
      </c>
      <c r="C32" s="7" t="s">
        <v>131</v>
      </c>
      <c r="D32" s="7" t="s">
        <v>132</v>
      </c>
      <c r="E32" s="7" t="s">
        <v>133</v>
      </c>
      <c r="F32" s="11" t="s">
        <v>48</v>
      </c>
      <c r="G32" s="9" t="s">
        <v>134</v>
      </c>
      <c r="H32" s="5" t="s">
        <v>17</v>
      </c>
    </row>
    <row r="33" customFormat="false" ht="30" hidden="false" customHeight="true" outlineLevel="0" collapsed="false">
      <c r="A33" s="5" t="n">
        <v>25</v>
      </c>
      <c r="B33" s="6" t="s">
        <v>135</v>
      </c>
      <c r="C33" s="7" t="s">
        <v>136</v>
      </c>
      <c r="D33" s="7" t="s">
        <v>119</v>
      </c>
      <c r="E33" s="7" t="s">
        <v>137</v>
      </c>
      <c r="F33" s="13" t="s">
        <v>64</v>
      </c>
      <c r="G33" s="9" t="s">
        <v>138</v>
      </c>
      <c r="H33" s="5" t="s">
        <v>17</v>
      </c>
    </row>
    <row r="34" customFormat="false" ht="30" hidden="false" customHeight="true" outlineLevel="0" collapsed="false">
      <c r="A34" s="5" t="n">
        <v>26</v>
      </c>
      <c r="B34" s="6" t="s">
        <v>139</v>
      </c>
      <c r="C34" s="7" t="s">
        <v>140</v>
      </c>
      <c r="D34" s="7" t="s">
        <v>119</v>
      </c>
      <c r="E34" s="7" t="s">
        <v>141</v>
      </c>
      <c r="F34" s="13" t="s">
        <v>64</v>
      </c>
      <c r="G34" s="9" t="s">
        <v>142</v>
      </c>
      <c r="H34" s="5" t="s">
        <v>17</v>
      </c>
    </row>
    <row r="35" customFormat="false" ht="30" hidden="false" customHeight="true" outlineLevel="0" collapsed="false">
      <c r="A35" s="5" t="n">
        <v>27</v>
      </c>
      <c r="B35" s="6" t="s">
        <v>143</v>
      </c>
      <c r="C35" s="7" t="s">
        <v>144</v>
      </c>
      <c r="D35" s="7" t="s">
        <v>47</v>
      </c>
      <c r="E35" s="7" t="s">
        <v>145</v>
      </c>
      <c r="F35" s="13" t="s">
        <v>64</v>
      </c>
      <c r="G35" s="9" t="s">
        <v>146</v>
      </c>
      <c r="H35" s="5" t="s">
        <v>17</v>
      </c>
    </row>
    <row r="36" customFormat="false" ht="30" hidden="false" customHeight="true" outlineLevel="0" collapsed="false">
      <c r="A36" s="5" t="n">
        <v>28</v>
      </c>
      <c r="B36" s="6" t="s">
        <v>147</v>
      </c>
      <c r="C36" s="7" t="s">
        <v>148</v>
      </c>
      <c r="D36" s="7" t="s">
        <v>149</v>
      </c>
      <c r="E36" s="7" t="s">
        <v>150</v>
      </c>
      <c r="F36" s="13" t="s">
        <v>64</v>
      </c>
      <c r="G36" s="9" t="s">
        <v>151</v>
      </c>
      <c r="H36" s="5" t="s">
        <v>17</v>
      </c>
    </row>
    <row r="37" customFormat="false" ht="30" hidden="false" customHeight="true" outlineLevel="0" collapsed="false">
      <c r="A37" s="5" t="n">
        <v>29</v>
      </c>
      <c r="B37" s="6" t="s">
        <v>152</v>
      </c>
      <c r="C37" s="7" t="s">
        <v>153</v>
      </c>
      <c r="D37" s="7" t="s">
        <v>154</v>
      </c>
      <c r="E37" s="7" t="s">
        <v>155</v>
      </c>
      <c r="F37" s="13" t="s">
        <v>64</v>
      </c>
      <c r="G37" s="9" t="s">
        <v>156</v>
      </c>
      <c r="H37" s="5" t="s">
        <v>17</v>
      </c>
    </row>
    <row r="38" customFormat="false" ht="30" hidden="false" customHeight="true" outlineLevel="0" collapsed="false">
      <c r="A38" s="5" t="n">
        <v>30</v>
      </c>
      <c r="B38" s="6" t="s">
        <v>157</v>
      </c>
      <c r="C38" s="7" t="s">
        <v>158</v>
      </c>
      <c r="D38" s="7" t="s">
        <v>154</v>
      </c>
      <c r="E38" s="7" t="s">
        <v>159</v>
      </c>
      <c r="F38" s="13" t="s">
        <v>64</v>
      </c>
      <c r="G38" s="9" t="s">
        <v>160</v>
      </c>
      <c r="H38" s="5" t="s">
        <v>17</v>
      </c>
    </row>
    <row r="39" customFormat="false" ht="30" hidden="false" customHeight="true" outlineLevel="0" collapsed="false">
      <c r="A39" s="5" t="n">
        <v>31</v>
      </c>
      <c r="B39" s="6" t="s">
        <v>161</v>
      </c>
      <c r="C39" s="7" t="s">
        <v>162</v>
      </c>
      <c r="D39" s="7" t="s">
        <v>163</v>
      </c>
      <c r="E39" s="7" t="s">
        <v>164</v>
      </c>
      <c r="F39" s="13" t="s">
        <v>64</v>
      </c>
      <c r="G39" s="9" t="s">
        <v>165</v>
      </c>
      <c r="H39" s="5" t="s">
        <v>17</v>
      </c>
    </row>
    <row r="40" customFormat="false" ht="30" hidden="false" customHeight="true" outlineLevel="0" collapsed="false">
      <c r="A40" s="5" t="n">
        <v>32</v>
      </c>
      <c r="B40" s="6" t="s">
        <v>166</v>
      </c>
      <c r="C40" s="7" t="s">
        <v>167</v>
      </c>
      <c r="D40" s="7" t="s">
        <v>168</v>
      </c>
      <c r="E40" s="7" t="s">
        <v>169</v>
      </c>
      <c r="F40" s="13" t="s">
        <v>64</v>
      </c>
      <c r="G40" s="9" t="s">
        <v>170</v>
      </c>
      <c r="H40" s="5" t="s">
        <v>17</v>
      </c>
    </row>
    <row r="41" customFormat="false" ht="30" hidden="false" customHeight="true" outlineLevel="0" collapsed="false">
      <c r="A41" s="5" t="n">
        <v>33</v>
      </c>
      <c r="B41" s="6" t="s">
        <v>171</v>
      </c>
      <c r="C41" s="7" t="s">
        <v>172</v>
      </c>
      <c r="D41" s="7" t="s">
        <v>173</v>
      </c>
      <c r="E41" s="7" t="s">
        <v>174</v>
      </c>
      <c r="F41" s="13" t="s">
        <v>64</v>
      </c>
      <c r="G41" s="9" t="s">
        <v>175</v>
      </c>
      <c r="H41" s="5" t="s">
        <v>17</v>
      </c>
    </row>
    <row r="42" customFormat="false" ht="30" hidden="false" customHeight="true" outlineLevel="0" collapsed="false">
      <c r="A42" s="5" t="n">
        <v>34</v>
      </c>
      <c r="B42" s="6" t="s">
        <v>176</v>
      </c>
      <c r="C42" s="7" t="s">
        <v>177</v>
      </c>
      <c r="D42" s="7" t="s">
        <v>178</v>
      </c>
      <c r="E42" s="7" t="s">
        <v>179</v>
      </c>
      <c r="F42" s="13" t="s">
        <v>64</v>
      </c>
      <c r="G42" s="9" t="s">
        <v>180</v>
      </c>
      <c r="H42" s="5" t="s">
        <v>17</v>
      </c>
    </row>
    <row r="43" customFormat="false" ht="30" hidden="false" customHeight="true" outlineLevel="0" collapsed="false">
      <c r="A43" s="5" t="n">
        <v>35</v>
      </c>
      <c r="B43" s="6" t="s">
        <v>181</v>
      </c>
      <c r="C43" s="7" t="s">
        <v>182</v>
      </c>
      <c r="D43" s="7" t="s">
        <v>47</v>
      </c>
      <c r="E43" s="7" t="s">
        <v>183</v>
      </c>
      <c r="F43" s="13" t="s">
        <v>64</v>
      </c>
      <c r="G43" s="9" t="s">
        <v>184</v>
      </c>
      <c r="H43" s="5" t="s">
        <v>17</v>
      </c>
    </row>
    <row r="44" customFormat="false" ht="30" hidden="false" customHeight="true" outlineLevel="0" collapsed="false">
      <c r="A44" s="5" t="n">
        <v>36</v>
      </c>
      <c r="B44" s="6" t="s">
        <v>185</v>
      </c>
      <c r="C44" s="7" t="s">
        <v>186</v>
      </c>
      <c r="D44" s="7" t="s">
        <v>187</v>
      </c>
      <c r="E44" s="7" t="s">
        <v>188</v>
      </c>
      <c r="F44" s="13" t="s">
        <v>64</v>
      </c>
      <c r="G44" s="9" t="s">
        <v>189</v>
      </c>
      <c r="H44" s="5" t="s">
        <v>17</v>
      </c>
    </row>
    <row r="45" customFormat="false" ht="30" hidden="false" customHeight="true" outlineLevel="0" collapsed="false">
      <c r="A45" s="5" t="n">
        <v>37</v>
      </c>
      <c r="B45" s="6" t="s">
        <v>190</v>
      </c>
      <c r="C45" s="7" t="s">
        <v>191</v>
      </c>
      <c r="D45" s="7" t="s">
        <v>192</v>
      </c>
      <c r="E45" s="7" t="s">
        <v>193</v>
      </c>
      <c r="F45" s="13" t="s">
        <v>64</v>
      </c>
      <c r="G45" s="9" t="s">
        <v>194</v>
      </c>
      <c r="H45" s="5" t="s">
        <v>17</v>
      </c>
    </row>
    <row r="46" customFormat="false" ht="30" hidden="false" customHeight="true" outlineLevel="0" collapsed="false">
      <c r="A46" s="5" t="n">
        <v>38</v>
      </c>
      <c r="B46" s="6" t="s">
        <v>195</v>
      </c>
      <c r="C46" s="7" t="s">
        <v>196</v>
      </c>
      <c r="D46" s="7" t="s">
        <v>47</v>
      </c>
      <c r="E46" s="7" t="s">
        <v>197</v>
      </c>
      <c r="F46" s="13" t="s">
        <v>64</v>
      </c>
      <c r="G46" s="9" t="s">
        <v>198</v>
      </c>
      <c r="H46" s="5" t="s">
        <v>17</v>
      </c>
    </row>
    <row r="47" customFormat="false" ht="30" hidden="false" customHeight="true" outlineLevel="0" collapsed="false">
      <c r="A47" s="5" t="n">
        <v>39</v>
      </c>
      <c r="B47" s="6" t="s">
        <v>199</v>
      </c>
      <c r="C47" s="7" t="s">
        <v>200</v>
      </c>
      <c r="D47" s="7" t="s">
        <v>201</v>
      </c>
      <c r="E47" s="7" t="s">
        <v>202</v>
      </c>
      <c r="F47" s="13" t="s">
        <v>64</v>
      </c>
      <c r="G47" s="9" t="s">
        <v>203</v>
      </c>
      <c r="H47" s="5" t="s">
        <v>17</v>
      </c>
    </row>
    <row r="48" customFormat="false" ht="30" hidden="false" customHeight="true" outlineLevel="0" collapsed="false">
      <c r="A48" s="5" t="n">
        <v>40</v>
      </c>
      <c r="B48" s="6" t="s">
        <v>204</v>
      </c>
      <c r="C48" s="7" t="s">
        <v>205</v>
      </c>
      <c r="D48" s="7" t="s">
        <v>206</v>
      </c>
      <c r="E48" s="7" t="s">
        <v>207</v>
      </c>
      <c r="F48" s="13" t="s">
        <v>64</v>
      </c>
      <c r="G48" s="9" t="s">
        <v>208</v>
      </c>
      <c r="H48" s="5" t="s">
        <v>17</v>
      </c>
    </row>
    <row r="49" customFormat="false" ht="30" hidden="false" customHeight="true" outlineLevel="0" collapsed="false">
      <c r="A49" s="5" t="n">
        <v>41</v>
      </c>
      <c r="B49" s="6" t="s">
        <v>209</v>
      </c>
      <c r="C49" s="7" t="s">
        <v>210</v>
      </c>
      <c r="D49" s="7" t="s">
        <v>211</v>
      </c>
      <c r="E49" s="7" t="s">
        <v>212</v>
      </c>
      <c r="F49" s="13" t="s">
        <v>64</v>
      </c>
      <c r="G49" s="9" t="s">
        <v>213</v>
      </c>
      <c r="H49" s="5" t="s">
        <v>17</v>
      </c>
    </row>
    <row r="50" customFormat="false" ht="30" hidden="false" customHeight="true" outlineLevel="0" collapsed="false">
      <c r="A50" s="5" t="n">
        <v>42</v>
      </c>
      <c r="B50" s="6" t="s">
        <v>214</v>
      </c>
      <c r="C50" s="7" t="s">
        <v>215</v>
      </c>
      <c r="D50" s="7" t="s">
        <v>216</v>
      </c>
      <c r="E50" s="7" t="s">
        <v>217</v>
      </c>
      <c r="F50" s="13" t="s">
        <v>64</v>
      </c>
      <c r="G50" s="9" t="s">
        <v>218</v>
      </c>
      <c r="H50" s="5" t="s">
        <v>17</v>
      </c>
    </row>
    <row r="51" customFormat="false" ht="30" hidden="false" customHeight="true" outlineLevel="0" collapsed="false">
      <c r="A51" s="5" t="n">
        <v>43</v>
      </c>
      <c r="B51" s="6" t="s">
        <v>219</v>
      </c>
      <c r="C51" s="7" t="s">
        <v>220</v>
      </c>
      <c r="D51" s="7" t="s">
        <v>221</v>
      </c>
      <c r="E51" s="7" t="s">
        <v>222</v>
      </c>
      <c r="F51" s="11" t="s">
        <v>48</v>
      </c>
      <c r="G51" s="9" t="s">
        <v>223</v>
      </c>
      <c r="H51" s="5" t="s">
        <v>17</v>
      </c>
    </row>
    <row r="52" customFormat="false" ht="30" hidden="false" customHeight="true" outlineLevel="0" collapsed="false">
      <c r="A52" s="5" t="n">
        <v>44</v>
      </c>
      <c r="B52" s="6" t="s">
        <v>224</v>
      </c>
      <c r="C52" s="7" t="s">
        <v>225</v>
      </c>
      <c r="D52" s="7" t="s">
        <v>226</v>
      </c>
      <c r="E52" s="7" t="s">
        <v>227</v>
      </c>
      <c r="F52" s="11" t="s">
        <v>48</v>
      </c>
      <c r="G52" s="9" t="s">
        <v>228</v>
      </c>
      <c r="H52" s="5" t="s">
        <v>17</v>
      </c>
    </row>
    <row r="53" customFormat="false" ht="21.75" hidden="false" customHeight="true" outlineLevel="0" collapsed="false">
      <c r="A53" s="4" t="s">
        <v>229</v>
      </c>
      <c r="B53" s="4"/>
      <c r="C53" s="4"/>
      <c r="D53" s="4"/>
      <c r="E53" s="4"/>
      <c r="F53" s="4"/>
      <c r="G53" s="4"/>
      <c r="H53" s="4"/>
    </row>
    <row r="54" customFormat="false" ht="30" hidden="false" customHeight="true" outlineLevel="0" collapsed="false">
      <c r="A54" s="5" t="n">
        <v>45</v>
      </c>
      <c r="B54" s="6" t="s">
        <v>230</v>
      </c>
      <c r="C54" s="7" t="s">
        <v>231</v>
      </c>
      <c r="D54" s="7" t="s">
        <v>232</v>
      </c>
      <c r="E54" s="7" t="s">
        <v>233</v>
      </c>
      <c r="F54" s="8" t="s">
        <v>15</v>
      </c>
      <c r="G54" s="9" t="s">
        <v>234</v>
      </c>
      <c r="H54" s="5" t="s">
        <v>235</v>
      </c>
    </row>
    <row r="55" customFormat="false" ht="30" hidden="false" customHeight="true" outlineLevel="0" collapsed="false">
      <c r="A55" s="5" t="n">
        <v>46</v>
      </c>
      <c r="B55" s="6" t="s">
        <v>236</v>
      </c>
      <c r="C55" s="7" t="s">
        <v>237</v>
      </c>
      <c r="D55" s="7" t="s">
        <v>238</v>
      </c>
      <c r="E55" s="7" t="s">
        <v>239</v>
      </c>
      <c r="F55" s="10" t="s">
        <v>27</v>
      </c>
      <c r="G55" s="9" t="s">
        <v>240</v>
      </c>
      <c r="H55" s="5" t="s">
        <v>235</v>
      </c>
    </row>
    <row r="56" customFormat="false" ht="30" hidden="false" customHeight="true" outlineLevel="0" collapsed="false">
      <c r="A56" s="5" t="n">
        <v>47</v>
      </c>
      <c r="B56" s="6" t="s">
        <v>241</v>
      </c>
      <c r="C56" s="7" t="s">
        <v>242</v>
      </c>
      <c r="D56" s="7" t="s">
        <v>243</v>
      </c>
      <c r="E56" s="7" t="s">
        <v>244</v>
      </c>
      <c r="F56" s="13" t="s">
        <v>64</v>
      </c>
      <c r="G56" s="9" t="s">
        <v>245</v>
      </c>
      <c r="H56" s="5" t="s">
        <v>235</v>
      </c>
    </row>
    <row r="57" customFormat="false" ht="30" hidden="false" customHeight="true" outlineLevel="0" collapsed="false">
      <c r="A57" s="5" t="n">
        <v>48</v>
      </c>
      <c r="B57" s="6" t="s">
        <v>246</v>
      </c>
      <c r="C57" s="7" t="s">
        <v>247</v>
      </c>
      <c r="D57" s="7" t="s">
        <v>248</v>
      </c>
      <c r="E57" s="7" t="s">
        <v>249</v>
      </c>
      <c r="F57" s="10" t="s">
        <v>27</v>
      </c>
      <c r="G57" s="9" t="s">
        <v>250</v>
      </c>
      <c r="H57" s="5" t="s">
        <v>235</v>
      </c>
    </row>
    <row r="58" customFormat="false" ht="30" hidden="false" customHeight="true" outlineLevel="0" collapsed="false">
      <c r="A58" s="5" t="n">
        <v>49</v>
      </c>
      <c r="B58" s="6" t="s">
        <v>251</v>
      </c>
      <c r="C58" s="7" t="s">
        <v>252</v>
      </c>
      <c r="D58" s="7" t="s">
        <v>253</v>
      </c>
      <c r="E58" s="7" t="s">
        <v>254</v>
      </c>
      <c r="F58" s="14" t="s">
        <v>90</v>
      </c>
      <c r="G58" s="9" t="s">
        <v>255</v>
      </c>
      <c r="H58" s="5" t="s">
        <v>235</v>
      </c>
    </row>
    <row r="59" customFormat="false" ht="30" hidden="false" customHeight="true" outlineLevel="0" collapsed="false">
      <c r="A59" s="5" t="n">
        <v>50</v>
      </c>
      <c r="B59" s="6" t="s">
        <v>256</v>
      </c>
      <c r="C59" s="7" t="s">
        <v>257</v>
      </c>
      <c r="D59" s="7" t="s">
        <v>258</v>
      </c>
      <c r="E59" s="7" t="s">
        <v>259</v>
      </c>
      <c r="F59" s="8" t="s">
        <v>15</v>
      </c>
      <c r="G59" s="9" t="s">
        <v>260</v>
      </c>
      <c r="H59" s="5" t="s">
        <v>235</v>
      </c>
    </row>
    <row r="60" customFormat="false" ht="30" hidden="false" customHeight="true" outlineLevel="0" collapsed="false">
      <c r="A60" s="5" t="n">
        <v>51</v>
      </c>
      <c r="B60" s="6" t="s">
        <v>261</v>
      </c>
      <c r="C60" s="7" t="s">
        <v>262</v>
      </c>
      <c r="D60" s="7" t="s">
        <v>263</v>
      </c>
      <c r="E60" s="7" t="s">
        <v>264</v>
      </c>
      <c r="F60" s="10" t="s">
        <v>27</v>
      </c>
      <c r="G60" s="9" t="s">
        <v>265</v>
      </c>
      <c r="H60" s="5" t="s">
        <v>235</v>
      </c>
    </row>
    <row r="61" customFormat="false" ht="30" hidden="false" customHeight="true" outlineLevel="0" collapsed="false">
      <c r="A61" s="5" t="n">
        <v>52</v>
      </c>
      <c r="B61" s="6" t="s">
        <v>266</v>
      </c>
      <c r="C61" s="7" t="s">
        <v>267</v>
      </c>
      <c r="D61" s="7" t="s">
        <v>268</v>
      </c>
      <c r="E61" s="7" t="s">
        <v>269</v>
      </c>
      <c r="F61" s="10" t="s">
        <v>27</v>
      </c>
      <c r="G61" s="9" t="s">
        <v>270</v>
      </c>
      <c r="H61" s="5" t="s">
        <v>235</v>
      </c>
    </row>
    <row r="62" customFormat="false" ht="30" hidden="false" customHeight="true" outlineLevel="0" collapsed="false">
      <c r="A62" s="5" t="n">
        <v>53</v>
      </c>
      <c r="B62" s="6" t="s">
        <v>271</v>
      </c>
      <c r="C62" s="7" t="s">
        <v>272</v>
      </c>
      <c r="D62" s="7" t="s">
        <v>273</v>
      </c>
      <c r="E62" s="7" t="s">
        <v>274</v>
      </c>
      <c r="F62" s="10" t="s">
        <v>27</v>
      </c>
      <c r="G62" s="9" t="s">
        <v>275</v>
      </c>
      <c r="H62" s="5" t="s">
        <v>235</v>
      </c>
    </row>
    <row r="63" customFormat="false" ht="30" hidden="false" customHeight="true" outlineLevel="0" collapsed="false">
      <c r="A63" s="5" t="n">
        <v>54</v>
      </c>
      <c r="B63" s="6" t="s">
        <v>276</v>
      </c>
      <c r="C63" s="7" t="s">
        <v>277</v>
      </c>
      <c r="D63" s="7" t="s">
        <v>278</v>
      </c>
      <c r="E63" s="7" t="s">
        <v>279</v>
      </c>
      <c r="F63" s="8" t="s">
        <v>15</v>
      </c>
      <c r="G63" s="9" t="s">
        <v>280</v>
      </c>
      <c r="H63" s="5" t="s">
        <v>235</v>
      </c>
    </row>
    <row r="64" customFormat="false" ht="30" hidden="false" customHeight="true" outlineLevel="0" collapsed="false">
      <c r="A64" s="5" t="n">
        <v>55</v>
      </c>
      <c r="B64" s="6" t="s">
        <v>281</v>
      </c>
      <c r="C64" s="7" t="s">
        <v>282</v>
      </c>
      <c r="D64" s="7" t="s">
        <v>283</v>
      </c>
      <c r="E64" s="7" t="s">
        <v>284</v>
      </c>
      <c r="F64" s="8" t="s">
        <v>15</v>
      </c>
      <c r="G64" s="9" t="s">
        <v>285</v>
      </c>
      <c r="H64" s="5" t="s">
        <v>235</v>
      </c>
    </row>
    <row r="65" customFormat="false" ht="21.75" hidden="false" customHeight="true" outlineLevel="0" collapsed="false">
      <c r="A65" s="4" t="s">
        <v>286</v>
      </c>
      <c r="B65" s="4"/>
      <c r="C65" s="4"/>
      <c r="D65" s="4"/>
      <c r="E65" s="4"/>
      <c r="F65" s="4"/>
      <c r="G65" s="4"/>
      <c r="H65" s="4"/>
    </row>
    <row r="66" customFormat="false" ht="30" hidden="false" customHeight="true" outlineLevel="0" collapsed="false">
      <c r="A66" s="5" t="n">
        <v>56</v>
      </c>
      <c r="B66" s="6" t="s">
        <v>287</v>
      </c>
      <c r="C66" s="7" t="s">
        <v>288</v>
      </c>
      <c r="D66" s="7" t="s">
        <v>289</v>
      </c>
      <c r="E66" s="7" t="s">
        <v>290</v>
      </c>
      <c r="F66" s="13" t="s">
        <v>64</v>
      </c>
      <c r="G66" s="9" t="s">
        <v>291</v>
      </c>
      <c r="H66" s="5" t="s">
        <v>235</v>
      </c>
    </row>
    <row r="67" customFormat="false" ht="30" hidden="false" customHeight="true" outlineLevel="0" collapsed="false">
      <c r="A67" s="5" t="n">
        <v>57</v>
      </c>
      <c r="B67" s="6" t="s">
        <v>292</v>
      </c>
      <c r="C67" s="7" t="s">
        <v>293</v>
      </c>
      <c r="D67" s="7" t="s">
        <v>289</v>
      </c>
      <c r="E67" s="7" t="s">
        <v>294</v>
      </c>
      <c r="F67" s="13" t="s">
        <v>64</v>
      </c>
      <c r="G67" s="9" t="s">
        <v>295</v>
      </c>
      <c r="H67" s="5" t="s">
        <v>235</v>
      </c>
    </row>
    <row r="68" customFormat="false" ht="30" hidden="false" customHeight="true" outlineLevel="0" collapsed="false">
      <c r="A68" s="5" t="n">
        <v>58</v>
      </c>
      <c r="B68" s="6" t="s">
        <v>296</v>
      </c>
      <c r="C68" s="7" t="s">
        <v>297</v>
      </c>
      <c r="D68" s="7" t="s">
        <v>289</v>
      </c>
      <c r="E68" s="7" t="s">
        <v>298</v>
      </c>
      <c r="F68" s="13" t="s">
        <v>64</v>
      </c>
      <c r="G68" s="9" t="s">
        <v>299</v>
      </c>
      <c r="H68" s="5" t="s">
        <v>235</v>
      </c>
    </row>
    <row r="69" customFormat="false" ht="30" hidden="false" customHeight="true" outlineLevel="0" collapsed="false">
      <c r="A69" s="5" t="n">
        <v>59</v>
      </c>
      <c r="B69" s="6" t="s">
        <v>300</v>
      </c>
      <c r="C69" s="7" t="s">
        <v>301</v>
      </c>
      <c r="D69" s="7" t="s">
        <v>289</v>
      </c>
      <c r="E69" s="7" t="s">
        <v>302</v>
      </c>
      <c r="F69" s="13" t="s">
        <v>64</v>
      </c>
      <c r="G69" s="9" t="s">
        <v>303</v>
      </c>
      <c r="H69" s="5" t="s">
        <v>235</v>
      </c>
    </row>
    <row r="70" customFormat="false" ht="30" hidden="false" customHeight="true" outlineLevel="0" collapsed="false">
      <c r="A70" s="5" t="n">
        <v>60</v>
      </c>
      <c r="B70" s="6" t="s">
        <v>304</v>
      </c>
      <c r="C70" s="7" t="s">
        <v>305</v>
      </c>
      <c r="D70" s="7" t="s">
        <v>289</v>
      </c>
      <c r="E70" s="7" t="s">
        <v>306</v>
      </c>
      <c r="F70" s="13" t="s">
        <v>64</v>
      </c>
      <c r="G70" s="9" t="s">
        <v>303</v>
      </c>
      <c r="H70" s="5" t="s">
        <v>235</v>
      </c>
    </row>
    <row r="71" customFormat="false" ht="30" hidden="false" customHeight="true" outlineLevel="0" collapsed="false">
      <c r="A71" s="5" t="n">
        <v>61</v>
      </c>
      <c r="B71" s="6" t="s">
        <v>307</v>
      </c>
      <c r="C71" s="7" t="s">
        <v>308</v>
      </c>
      <c r="D71" s="7" t="s">
        <v>289</v>
      </c>
      <c r="E71" s="7" t="s">
        <v>309</v>
      </c>
      <c r="F71" s="13" t="s">
        <v>64</v>
      </c>
      <c r="G71" s="9" t="s">
        <v>310</v>
      </c>
      <c r="H71" s="5" t="s">
        <v>235</v>
      </c>
    </row>
    <row r="72" customFormat="false" ht="30" hidden="false" customHeight="true" outlineLevel="0" collapsed="false">
      <c r="A72" s="5" t="n">
        <v>62</v>
      </c>
      <c r="B72" s="6" t="s">
        <v>311</v>
      </c>
      <c r="C72" s="7" t="s">
        <v>312</v>
      </c>
      <c r="D72" s="7" t="s">
        <v>313</v>
      </c>
      <c r="E72" s="7" t="s">
        <v>314</v>
      </c>
      <c r="F72" s="13" t="s">
        <v>64</v>
      </c>
      <c r="G72" s="9" t="s">
        <v>315</v>
      </c>
      <c r="H72" s="5" t="s">
        <v>235</v>
      </c>
    </row>
    <row r="73" customFormat="false" ht="30" hidden="false" customHeight="true" outlineLevel="0" collapsed="false">
      <c r="A73" s="5" t="n">
        <v>63</v>
      </c>
      <c r="B73" s="6" t="s">
        <v>316</v>
      </c>
      <c r="C73" s="7" t="s">
        <v>317</v>
      </c>
      <c r="D73" s="7" t="s">
        <v>318</v>
      </c>
      <c r="E73" s="7" t="s">
        <v>319</v>
      </c>
      <c r="F73" s="13" t="s">
        <v>64</v>
      </c>
      <c r="G73" s="9" t="s">
        <v>320</v>
      </c>
      <c r="H73" s="5" t="s">
        <v>235</v>
      </c>
    </row>
    <row r="74" customFormat="false" ht="30" hidden="false" customHeight="true" outlineLevel="0" collapsed="false">
      <c r="A74" s="5" t="n">
        <v>64</v>
      </c>
      <c r="B74" s="6" t="s">
        <v>321</v>
      </c>
      <c r="C74" s="7" t="s">
        <v>322</v>
      </c>
      <c r="D74" s="7" t="s">
        <v>323</v>
      </c>
      <c r="E74" s="7" t="s">
        <v>324</v>
      </c>
      <c r="F74" s="13" t="s">
        <v>64</v>
      </c>
      <c r="G74" s="9" t="s">
        <v>325</v>
      </c>
      <c r="H74" s="5" t="s">
        <v>235</v>
      </c>
    </row>
    <row r="75" customFormat="false" ht="30" hidden="false" customHeight="true" outlineLevel="0" collapsed="false">
      <c r="A75" s="5" t="n">
        <v>65</v>
      </c>
      <c r="B75" s="6" t="s">
        <v>326</v>
      </c>
      <c r="C75" s="7" t="s">
        <v>327</v>
      </c>
      <c r="D75" s="7" t="s">
        <v>323</v>
      </c>
      <c r="E75" s="7" t="s">
        <v>328</v>
      </c>
      <c r="F75" s="13" t="s">
        <v>64</v>
      </c>
      <c r="G75" s="9" t="s">
        <v>329</v>
      </c>
      <c r="H75" s="5" t="s">
        <v>235</v>
      </c>
    </row>
    <row r="76" customFormat="false" ht="30" hidden="false" customHeight="true" outlineLevel="0" collapsed="false">
      <c r="A76" s="5" t="n">
        <v>66</v>
      </c>
      <c r="B76" s="6" t="s">
        <v>330</v>
      </c>
      <c r="C76" s="7" t="s">
        <v>331</v>
      </c>
      <c r="D76" s="7" t="s">
        <v>332</v>
      </c>
      <c r="E76" s="7" t="s">
        <v>124</v>
      </c>
      <c r="F76" s="13" t="s">
        <v>64</v>
      </c>
      <c r="G76" s="9" t="s">
        <v>333</v>
      </c>
      <c r="H76" s="5" t="s">
        <v>235</v>
      </c>
    </row>
    <row r="77" customFormat="false" ht="30" hidden="false" customHeight="true" outlineLevel="0" collapsed="false">
      <c r="A77" s="5" t="n">
        <v>67</v>
      </c>
      <c r="B77" s="6" t="s">
        <v>334</v>
      </c>
      <c r="C77" s="7" t="s">
        <v>335</v>
      </c>
      <c r="D77" s="7" t="s">
        <v>336</v>
      </c>
      <c r="E77" s="7" t="s">
        <v>337</v>
      </c>
      <c r="F77" s="11" t="s">
        <v>48</v>
      </c>
      <c r="G77" s="9" t="s">
        <v>338</v>
      </c>
      <c r="H77" s="5" t="s">
        <v>235</v>
      </c>
    </row>
    <row r="78" customFormat="false" ht="30" hidden="false" customHeight="true" outlineLevel="0" collapsed="false">
      <c r="A78" s="5" t="n">
        <v>68</v>
      </c>
      <c r="B78" s="6" t="s">
        <v>339</v>
      </c>
      <c r="C78" s="7" t="s">
        <v>340</v>
      </c>
      <c r="D78" s="7" t="s">
        <v>341</v>
      </c>
      <c r="E78" s="7" t="s">
        <v>342</v>
      </c>
      <c r="F78" s="13" t="s">
        <v>64</v>
      </c>
      <c r="G78" s="9" t="s">
        <v>343</v>
      </c>
      <c r="H78" s="5" t="s">
        <v>235</v>
      </c>
    </row>
    <row r="79" customFormat="false" ht="30" hidden="false" customHeight="true" outlineLevel="0" collapsed="false">
      <c r="A79" s="5" t="n">
        <v>69</v>
      </c>
      <c r="B79" s="6" t="s">
        <v>344</v>
      </c>
      <c r="C79" s="7" t="s">
        <v>345</v>
      </c>
      <c r="D79" s="7" t="s">
        <v>346</v>
      </c>
      <c r="E79" s="7" t="s">
        <v>347</v>
      </c>
      <c r="F79" s="11" t="s">
        <v>48</v>
      </c>
      <c r="G79" s="9" t="s">
        <v>348</v>
      </c>
      <c r="H79" s="5" t="s">
        <v>235</v>
      </c>
    </row>
    <row r="80" customFormat="false" ht="30" hidden="false" customHeight="true" outlineLevel="0" collapsed="false">
      <c r="A80" s="5" t="n">
        <v>70</v>
      </c>
      <c r="B80" s="6" t="s">
        <v>349</v>
      </c>
      <c r="C80" s="7" t="s">
        <v>350</v>
      </c>
      <c r="D80" s="7" t="s">
        <v>306</v>
      </c>
      <c r="E80" s="7" t="s">
        <v>351</v>
      </c>
      <c r="F80" s="13" t="s">
        <v>64</v>
      </c>
      <c r="G80" s="9" t="s">
        <v>352</v>
      </c>
      <c r="H80" s="5" t="s">
        <v>235</v>
      </c>
    </row>
    <row r="81" customFormat="false" ht="30" hidden="false" customHeight="true" outlineLevel="0" collapsed="false">
      <c r="A81" s="5" t="n">
        <v>71</v>
      </c>
      <c r="B81" s="6" t="s">
        <v>353</v>
      </c>
      <c r="C81" s="7" t="s">
        <v>354</v>
      </c>
      <c r="D81" s="7" t="s">
        <v>355</v>
      </c>
      <c r="E81" s="7" t="s">
        <v>356</v>
      </c>
      <c r="F81" s="13" t="s">
        <v>64</v>
      </c>
      <c r="G81" s="9" t="s">
        <v>357</v>
      </c>
      <c r="H81" s="5" t="s">
        <v>235</v>
      </c>
    </row>
    <row r="82" customFormat="false" ht="30" hidden="false" customHeight="true" outlineLevel="0" collapsed="false">
      <c r="A82" s="5" t="n">
        <v>72</v>
      </c>
      <c r="B82" s="6" t="s">
        <v>358</v>
      </c>
      <c r="C82" s="7" t="s">
        <v>359</v>
      </c>
      <c r="D82" s="7" t="s">
        <v>360</v>
      </c>
      <c r="E82" s="7" t="s">
        <v>361</v>
      </c>
      <c r="F82" s="13" t="s">
        <v>64</v>
      </c>
      <c r="G82" s="9" t="s">
        <v>362</v>
      </c>
      <c r="H82" s="5" t="s">
        <v>235</v>
      </c>
    </row>
    <row r="83" customFormat="false" ht="21.75" hidden="false" customHeight="true" outlineLevel="0" collapsed="false">
      <c r="A83" s="4" t="s">
        <v>363</v>
      </c>
      <c r="B83" s="4"/>
      <c r="C83" s="4"/>
      <c r="D83" s="4"/>
      <c r="E83" s="4"/>
      <c r="F83" s="4"/>
      <c r="G83" s="4"/>
      <c r="H83" s="4"/>
    </row>
    <row r="84" customFormat="false" ht="30" hidden="false" customHeight="true" outlineLevel="0" collapsed="false">
      <c r="A84" s="5" t="n">
        <v>73</v>
      </c>
      <c r="B84" s="6" t="s">
        <v>364</v>
      </c>
      <c r="C84" s="7" t="s">
        <v>365</v>
      </c>
      <c r="D84" s="7" t="s">
        <v>366</v>
      </c>
      <c r="E84" s="7" t="s">
        <v>367</v>
      </c>
      <c r="F84" s="8" t="s">
        <v>15</v>
      </c>
      <c r="G84" s="9" t="s">
        <v>368</v>
      </c>
      <c r="H84" s="5" t="s">
        <v>369</v>
      </c>
    </row>
    <row r="85" customFormat="false" ht="30" hidden="false" customHeight="true" outlineLevel="0" collapsed="false">
      <c r="A85" s="5" t="n">
        <v>74</v>
      </c>
      <c r="B85" s="6" t="s">
        <v>370</v>
      </c>
      <c r="C85" s="7" t="s">
        <v>371</v>
      </c>
      <c r="D85" s="7" t="s">
        <v>372</v>
      </c>
      <c r="E85" s="7" t="s">
        <v>373</v>
      </c>
      <c r="F85" s="10" t="s">
        <v>27</v>
      </c>
      <c r="G85" s="9" t="s">
        <v>374</v>
      </c>
      <c r="H85" s="5" t="s">
        <v>369</v>
      </c>
    </row>
    <row r="86" customFormat="false" ht="30" hidden="false" customHeight="true" outlineLevel="0" collapsed="false">
      <c r="A86" s="5" t="n">
        <v>75</v>
      </c>
      <c r="B86" s="6" t="s">
        <v>375</v>
      </c>
      <c r="C86" s="7" t="s">
        <v>376</v>
      </c>
      <c r="D86" s="7" t="s">
        <v>377</v>
      </c>
      <c r="E86" s="7" t="s">
        <v>378</v>
      </c>
      <c r="F86" s="10" t="s">
        <v>27</v>
      </c>
      <c r="G86" s="9" t="s">
        <v>379</v>
      </c>
      <c r="H86" s="5" t="s">
        <v>369</v>
      </c>
    </row>
    <row r="87" customFormat="false" ht="30" hidden="false" customHeight="true" outlineLevel="0" collapsed="false">
      <c r="A87" s="5" t="n">
        <v>76</v>
      </c>
      <c r="B87" s="6" t="s">
        <v>380</v>
      </c>
      <c r="C87" s="7" t="s">
        <v>381</v>
      </c>
      <c r="D87" s="7" t="s">
        <v>382</v>
      </c>
      <c r="E87" s="7" t="s">
        <v>383</v>
      </c>
      <c r="F87" s="13" t="s">
        <v>64</v>
      </c>
      <c r="G87" s="9" t="s">
        <v>384</v>
      </c>
      <c r="H87" s="5" t="s">
        <v>369</v>
      </c>
    </row>
    <row r="88" customFormat="false" ht="30" hidden="false" customHeight="true" outlineLevel="0" collapsed="false">
      <c r="A88" s="5" t="n">
        <v>77</v>
      </c>
      <c r="B88" s="6" t="s">
        <v>385</v>
      </c>
      <c r="C88" s="7" t="s">
        <v>386</v>
      </c>
      <c r="D88" s="7" t="s">
        <v>387</v>
      </c>
      <c r="E88" s="7" t="s">
        <v>388</v>
      </c>
      <c r="F88" s="13" t="s">
        <v>64</v>
      </c>
      <c r="G88" s="9" t="s">
        <v>389</v>
      </c>
      <c r="H88" s="5" t="s">
        <v>369</v>
      </c>
    </row>
    <row r="89" customFormat="false" ht="30" hidden="false" customHeight="true" outlineLevel="0" collapsed="false">
      <c r="A89" s="5" t="n">
        <v>78</v>
      </c>
      <c r="B89" s="6" t="s">
        <v>390</v>
      </c>
      <c r="C89" s="7" t="s">
        <v>391</v>
      </c>
      <c r="D89" s="7" t="s">
        <v>392</v>
      </c>
      <c r="E89" s="7" t="s">
        <v>393</v>
      </c>
      <c r="F89" s="13" t="s">
        <v>64</v>
      </c>
      <c r="G89" s="9" t="s">
        <v>394</v>
      </c>
      <c r="H89" s="5" t="s">
        <v>369</v>
      </c>
    </row>
    <row r="90" customFormat="false" ht="30" hidden="false" customHeight="true" outlineLevel="0" collapsed="false">
      <c r="A90" s="5" t="n">
        <v>79</v>
      </c>
      <c r="B90" s="6" t="s">
        <v>395</v>
      </c>
      <c r="C90" s="7" t="s">
        <v>396</v>
      </c>
      <c r="D90" s="7" t="s">
        <v>397</v>
      </c>
      <c r="E90" s="7" t="s">
        <v>398</v>
      </c>
      <c r="F90" s="11" t="s">
        <v>48</v>
      </c>
      <c r="G90" s="9" t="s">
        <v>399</v>
      </c>
      <c r="H90" s="5" t="s">
        <v>369</v>
      </c>
    </row>
    <row r="91" customFormat="false" ht="30" hidden="false" customHeight="true" outlineLevel="0" collapsed="false">
      <c r="A91" s="5" t="n">
        <v>80</v>
      </c>
      <c r="B91" s="6" t="s">
        <v>400</v>
      </c>
      <c r="C91" s="7" t="s">
        <v>401</v>
      </c>
      <c r="D91" s="7" t="s">
        <v>402</v>
      </c>
      <c r="E91" s="7" t="s">
        <v>403</v>
      </c>
      <c r="F91" s="11" t="s">
        <v>48</v>
      </c>
      <c r="G91" s="9" t="s">
        <v>404</v>
      </c>
      <c r="H91" s="5" t="s">
        <v>369</v>
      </c>
    </row>
    <row r="92" customFormat="false" ht="30" hidden="false" customHeight="true" outlineLevel="0" collapsed="false">
      <c r="A92" s="5" t="n">
        <v>81</v>
      </c>
      <c r="B92" s="6" t="s">
        <v>405</v>
      </c>
      <c r="C92" s="7" t="s">
        <v>406</v>
      </c>
      <c r="D92" s="7" t="s">
        <v>397</v>
      </c>
      <c r="E92" s="7" t="s">
        <v>407</v>
      </c>
      <c r="F92" s="11" t="s">
        <v>48</v>
      </c>
      <c r="G92" s="9" t="s">
        <v>408</v>
      </c>
      <c r="H92" s="5" t="s">
        <v>369</v>
      </c>
    </row>
    <row r="93" customFormat="false" ht="30" hidden="false" customHeight="true" outlineLevel="0" collapsed="false">
      <c r="A93" s="5" t="n">
        <v>82</v>
      </c>
      <c r="B93" s="6" t="s">
        <v>409</v>
      </c>
      <c r="C93" s="7" t="s">
        <v>410</v>
      </c>
      <c r="D93" s="7" t="s">
        <v>411</v>
      </c>
      <c r="E93" s="7" t="s">
        <v>412</v>
      </c>
      <c r="F93" s="11" t="s">
        <v>48</v>
      </c>
      <c r="G93" s="9" t="s">
        <v>413</v>
      </c>
      <c r="H93" s="5" t="s">
        <v>369</v>
      </c>
    </row>
    <row r="94" customFormat="false" ht="30" hidden="false" customHeight="true" outlineLevel="0" collapsed="false">
      <c r="A94" s="5" t="n">
        <v>83</v>
      </c>
      <c r="B94" s="6" t="s">
        <v>414</v>
      </c>
      <c r="C94" s="7" t="s">
        <v>415</v>
      </c>
      <c r="D94" s="7" t="s">
        <v>416</v>
      </c>
      <c r="E94" s="7" t="s">
        <v>417</v>
      </c>
      <c r="F94" s="11" t="s">
        <v>48</v>
      </c>
      <c r="G94" s="9" t="s">
        <v>418</v>
      </c>
      <c r="H94" s="5" t="s">
        <v>369</v>
      </c>
    </row>
    <row r="95" customFormat="false" ht="30" hidden="false" customHeight="true" outlineLevel="0" collapsed="false">
      <c r="A95" s="5" t="n">
        <v>84</v>
      </c>
      <c r="B95" s="6" t="s">
        <v>419</v>
      </c>
      <c r="C95" s="7" t="s">
        <v>420</v>
      </c>
      <c r="D95" s="7" t="s">
        <v>421</v>
      </c>
      <c r="E95" s="7" t="s">
        <v>422</v>
      </c>
      <c r="F95" s="13" t="s">
        <v>64</v>
      </c>
      <c r="G95" s="9" t="s">
        <v>423</v>
      </c>
      <c r="H95" s="5" t="s">
        <v>369</v>
      </c>
    </row>
    <row r="96" customFormat="false" ht="30" hidden="false" customHeight="true" outlineLevel="0" collapsed="false">
      <c r="A96" s="5" t="n">
        <v>85</v>
      </c>
      <c r="B96" s="6" t="s">
        <v>424</v>
      </c>
      <c r="C96" s="7" t="s">
        <v>425</v>
      </c>
      <c r="D96" s="7" t="s">
        <v>421</v>
      </c>
      <c r="E96" s="7" t="s">
        <v>426</v>
      </c>
      <c r="F96" s="13" t="s">
        <v>64</v>
      </c>
      <c r="G96" s="9" t="s">
        <v>427</v>
      </c>
      <c r="H96" s="5" t="s">
        <v>369</v>
      </c>
    </row>
    <row r="97" customFormat="false" ht="30" hidden="false" customHeight="true" outlineLevel="0" collapsed="false">
      <c r="A97" s="5" t="n">
        <v>86</v>
      </c>
      <c r="B97" s="6" t="s">
        <v>428</v>
      </c>
      <c r="C97" s="7" t="s">
        <v>429</v>
      </c>
      <c r="D97" s="7" t="s">
        <v>430</v>
      </c>
      <c r="E97" s="7" t="s">
        <v>431</v>
      </c>
      <c r="F97" s="13" t="s">
        <v>64</v>
      </c>
      <c r="G97" s="9" t="s">
        <v>432</v>
      </c>
      <c r="H97" s="5" t="s">
        <v>369</v>
      </c>
    </row>
    <row r="98" customFormat="false" ht="30" hidden="false" customHeight="true" outlineLevel="0" collapsed="false">
      <c r="A98" s="5" t="n">
        <v>87</v>
      </c>
      <c r="B98" s="6" t="s">
        <v>433</v>
      </c>
      <c r="C98" s="7" t="s">
        <v>434</v>
      </c>
      <c r="D98" s="7" t="s">
        <v>435</v>
      </c>
      <c r="E98" s="7" t="s">
        <v>436</v>
      </c>
      <c r="F98" s="11" t="s">
        <v>48</v>
      </c>
      <c r="G98" s="9" t="s">
        <v>437</v>
      </c>
      <c r="H98" s="5" t="s">
        <v>369</v>
      </c>
    </row>
    <row r="99" customFormat="false" ht="30" hidden="false" customHeight="true" outlineLevel="0" collapsed="false">
      <c r="A99" s="5" t="n">
        <v>88</v>
      </c>
      <c r="B99" s="6" t="s">
        <v>438</v>
      </c>
      <c r="C99" s="7" t="s">
        <v>439</v>
      </c>
      <c r="D99" s="7" t="s">
        <v>440</v>
      </c>
      <c r="E99" s="7" t="s">
        <v>441</v>
      </c>
      <c r="F99" s="11" t="s">
        <v>48</v>
      </c>
      <c r="G99" s="9" t="s">
        <v>442</v>
      </c>
      <c r="H99" s="5" t="s">
        <v>369</v>
      </c>
    </row>
    <row r="100" customFormat="false" ht="30" hidden="false" customHeight="true" outlineLevel="0" collapsed="false">
      <c r="A100" s="5" t="n">
        <v>89</v>
      </c>
      <c r="B100" s="6" t="s">
        <v>443</v>
      </c>
      <c r="C100" s="7" t="s">
        <v>444</v>
      </c>
      <c r="D100" s="7" t="s">
        <v>445</v>
      </c>
      <c r="E100" s="7" t="s">
        <v>446</v>
      </c>
      <c r="F100" s="13" t="s">
        <v>64</v>
      </c>
      <c r="G100" s="9" t="s">
        <v>447</v>
      </c>
      <c r="H100" s="5" t="s">
        <v>369</v>
      </c>
    </row>
    <row r="101" customFormat="false" ht="30" hidden="false" customHeight="true" outlineLevel="0" collapsed="false">
      <c r="A101" s="5" t="n">
        <v>90</v>
      </c>
      <c r="B101" s="6" t="s">
        <v>448</v>
      </c>
      <c r="C101" s="7" t="s">
        <v>449</v>
      </c>
      <c r="D101" s="7" t="s">
        <v>450</v>
      </c>
      <c r="E101" s="7" t="s">
        <v>451</v>
      </c>
      <c r="F101" s="13" t="s">
        <v>64</v>
      </c>
      <c r="G101" s="9" t="s">
        <v>452</v>
      </c>
      <c r="H101" s="5" t="s">
        <v>369</v>
      </c>
    </row>
    <row r="102" customFormat="false" ht="21.75" hidden="false" customHeight="true" outlineLevel="0" collapsed="false">
      <c r="A102" s="4" t="s">
        <v>453</v>
      </c>
      <c r="B102" s="4"/>
      <c r="C102" s="4"/>
      <c r="D102" s="4"/>
      <c r="E102" s="4"/>
      <c r="F102" s="4"/>
      <c r="G102" s="4"/>
      <c r="H102" s="4"/>
    </row>
    <row r="103" customFormat="false" ht="30" hidden="false" customHeight="true" outlineLevel="0" collapsed="false">
      <c r="A103" s="5" t="n">
        <v>91</v>
      </c>
      <c r="B103" s="6" t="s">
        <v>454</v>
      </c>
      <c r="C103" s="7" t="s">
        <v>455</v>
      </c>
      <c r="D103" s="7" t="s">
        <v>456</v>
      </c>
      <c r="E103" s="7" t="s">
        <v>457</v>
      </c>
      <c r="F103" s="15" t="s">
        <v>458</v>
      </c>
      <c r="G103" s="9" t="s">
        <v>459</v>
      </c>
      <c r="H103" s="5" t="s">
        <v>460</v>
      </c>
    </row>
    <row r="104" customFormat="false" ht="30" hidden="false" customHeight="true" outlineLevel="0" collapsed="false">
      <c r="A104" s="5" t="n">
        <v>92</v>
      </c>
      <c r="B104" s="6" t="s">
        <v>461</v>
      </c>
      <c r="C104" s="7" t="s">
        <v>462</v>
      </c>
      <c r="D104" s="7" t="s">
        <v>463</v>
      </c>
      <c r="E104" s="7" t="s">
        <v>464</v>
      </c>
      <c r="F104" s="13" t="s">
        <v>64</v>
      </c>
      <c r="G104" s="9" t="s">
        <v>465</v>
      </c>
      <c r="H104" s="5" t="s">
        <v>460</v>
      </c>
    </row>
    <row r="105" customFormat="false" ht="30" hidden="false" customHeight="true" outlineLevel="0" collapsed="false">
      <c r="A105" s="5" t="n">
        <v>93</v>
      </c>
      <c r="B105" s="6" t="s">
        <v>466</v>
      </c>
      <c r="C105" s="7" t="s">
        <v>467</v>
      </c>
      <c r="D105" s="7" t="s">
        <v>468</v>
      </c>
      <c r="E105" s="7" t="s">
        <v>464</v>
      </c>
      <c r="F105" s="13" t="s">
        <v>64</v>
      </c>
      <c r="G105" s="9" t="s">
        <v>469</v>
      </c>
      <c r="H105" s="5" t="s">
        <v>460</v>
      </c>
    </row>
    <row r="106" customFormat="false" ht="30" hidden="false" customHeight="true" outlineLevel="0" collapsed="false">
      <c r="A106" s="5" t="n">
        <v>94</v>
      </c>
      <c r="B106" s="6" t="s">
        <v>470</v>
      </c>
      <c r="C106" s="7" t="s">
        <v>471</v>
      </c>
      <c r="D106" s="7" t="s">
        <v>472</v>
      </c>
      <c r="E106" s="7" t="s">
        <v>464</v>
      </c>
      <c r="F106" s="13" t="s">
        <v>64</v>
      </c>
      <c r="G106" s="9" t="s">
        <v>465</v>
      </c>
      <c r="H106" s="5" t="s">
        <v>460</v>
      </c>
    </row>
    <row r="107" customFormat="false" ht="30" hidden="false" customHeight="true" outlineLevel="0" collapsed="false">
      <c r="A107" s="5" t="n">
        <v>95</v>
      </c>
      <c r="B107" s="6" t="s">
        <v>473</v>
      </c>
      <c r="C107" s="7" t="s">
        <v>474</v>
      </c>
      <c r="D107" s="7" t="s">
        <v>475</v>
      </c>
      <c r="E107" s="7" t="s">
        <v>476</v>
      </c>
      <c r="F107" s="11" t="s">
        <v>48</v>
      </c>
      <c r="G107" s="9" t="s">
        <v>477</v>
      </c>
      <c r="H107" s="5" t="s">
        <v>460</v>
      </c>
    </row>
    <row r="108" customFormat="false" ht="30" hidden="false" customHeight="true" outlineLevel="0" collapsed="false">
      <c r="A108" s="5" t="n">
        <v>96</v>
      </c>
      <c r="B108" s="6" t="s">
        <v>478</v>
      </c>
      <c r="C108" s="7" t="s">
        <v>479</v>
      </c>
      <c r="D108" s="7" t="s">
        <v>480</v>
      </c>
      <c r="E108" s="7" t="s">
        <v>481</v>
      </c>
      <c r="F108" s="12" t="s">
        <v>57</v>
      </c>
      <c r="G108" s="9" t="s">
        <v>482</v>
      </c>
      <c r="H108" s="5" t="s">
        <v>460</v>
      </c>
    </row>
    <row r="109" customFormat="false" ht="30" hidden="false" customHeight="true" outlineLevel="0" collapsed="false">
      <c r="A109" s="5" t="n">
        <v>97</v>
      </c>
      <c r="B109" s="6" t="s">
        <v>483</v>
      </c>
      <c r="C109" s="7" t="s">
        <v>484</v>
      </c>
      <c r="D109" s="7" t="s">
        <v>485</v>
      </c>
      <c r="E109" s="7" t="s">
        <v>486</v>
      </c>
      <c r="F109" s="15" t="s">
        <v>458</v>
      </c>
      <c r="G109" s="9" t="s">
        <v>487</v>
      </c>
      <c r="H109" s="5" t="s">
        <v>460</v>
      </c>
    </row>
    <row r="110" customFormat="false" ht="30" hidden="false" customHeight="true" outlineLevel="0" collapsed="false">
      <c r="A110" s="5" t="n">
        <v>98</v>
      </c>
      <c r="B110" s="6" t="s">
        <v>488</v>
      </c>
      <c r="C110" s="7" t="s">
        <v>489</v>
      </c>
      <c r="D110" s="7" t="s">
        <v>490</v>
      </c>
      <c r="E110" s="7" t="s">
        <v>491</v>
      </c>
      <c r="F110" s="15" t="s">
        <v>458</v>
      </c>
      <c r="G110" s="9" t="s">
        <v>492</v>
      </c>
      <c r="H110" s="5" t="s">
        <v>460</v>
      </c>
    </row>
    <row r="111" customFormat="false" ht="30" hidden="false" customHeight="true" outlineLevel="0" collapsed="false">
      <c r="A111" s="5" t="n">
        <v>99</v>
      </c>
      <c r="B111" s="6" t="s">
        <v>493</v>
      </c>
      <c r="C111" s="7" t="s">
        <v>494</v>
      </c>
      <c r="D111" s="7" t="s">
        <v>495</v>
      </c>
      <c r="E111" s="7" t="s">
        <v>496</v>
      </c>
      <c r="F111" s="15" t="s">
        <v>458</v>
      </c>
      <c r="G111" s="9" t="s">
        <v>497</v>
      </c>
      <c r="H111" s="5" t="s">
        <v>460</v>
      </c>
    </row>
    <row r="112" customFormat="false" ht="30" hidden="false" customHeight="true" outlineLevel="0" collapsed="false">
      <c r="A112" s="5" t="n">
        <v>100</v>
      </c>
      <c r="B112" s="6" t="s">
        <v>498</v>
      </c>
      <c r="C112" s="7" t="s">
        <v>499</v>
      </c>
      <c r="D112" s="7" t="s">
        <v>500</v>
      </c>
      <c r="E112" s="7" t="s">
        <v>501</v>
      </c>
      <c r="F112" s="15" t="s">
        <v>458</v>
      </c>
      <c r="G112" s="9" t="s">
        <v>502</v>
      </c>
      <c r="H112" s="5" t="s">
        <v>460</v>
      </c>
    </row>
    <row r="113" customFormat="false" ht="30" hidden="false" customHeight="true" outlineLevel="0" collapsed="false">
      <c r="A113" s="5" t="n">
        <v>101</v>
      </c>
      <c r="B113" s="6" t="s">
        <v>503</v>
      </c>
      <c r="C113" s="7" t="s">
        <v>504</v>
      </c>
      <c r="D113" s="7" t="s">
        <v>505</v>
      </c>
      <c r="E113" s="7" t="s">
        <v>506</v>
      </c>
      <c r="F113" s="15" t="s">
        <v>458</v>
      </c>
      <c r="G113" s="9" t="s">
        <v>507</v>
      </c>
      <c r="H113" s="5" t="s">
        <v>460</v>
      </c>
    </row>
    <row r="114" customFormat="false" ht="30" hidden="false" customHeight="true" outlineLevel="0" collapsed="false">
      <c r="A114" s="5" t="n">
        <v>102</v>
      </c>
      <c r="B114" s="6" t="s">
        <v>508</v>
      </c>
      <c r="C114" s="7" t="s">
        <v>509</v>
      </c>
      <c r="D114" s="7" t="s">
        <v>510</v>
      </c>
      <c r="E114" s="7" t="s">
        <v>511</v>
      </c>
      <c r="F114" s="13" t="s">
        <v>64</v>
      </c>
      <c r="G114" s="9" t="s">
        <v>512</v>
      </c>
      <c r="H114" s="5" t="s">
        <v>460</v>
      </c>
    </row>
    <row r="115" customFormat="false" ht="30" hidden="false" customHeight="true" outlineLevel="0" collapsed="false">
      <c r="A115" s="5" t="n">
        <v>103</v>
      </c>
      <c r="B115" s="6" t="s">
        <v>513</v>
      </c>
      <c r="C115" s="7" t="s">
        <v>514</v>
      </c>
      <c r="D115" s="7" t="s">
        <v>515</v>
      </c>
      <c r="E115" s="7" t="s">
        <v>516</v>
      </c>
      <c r="F115" s="13" t="s">
        <v>64</v>
      </c>
      <c r="G115" s="9" t="s">
        <v>517</v>
      </c>
      <c r="H115" s="5" t="s">
        <v>460</v>
      </c>
    </row>
    <row r="116" customFormat="false" ht="21.75" hidden="false" customHeight="true" outlineLevel="0" collapsed="false">
      <c r="A116" s="4" t="s">
        <v>518</v>
      </c>
      <c r="B116" s="4"/>
      <c r="C116" s="4"/>
      <c r="D116" s="4"/>
      <c r="E116" s="4"/>
      <c r="F116" s="4"/>
      <c r="G116" s="4"/>
      <c r="H116" s="4"/>
    </row>
    <row r="117" customFormat="false" ht="30" hidden="false" customHeight="true" outlineLevel="0" collapsed="false">
      <c r="A117" s="5" t="n">
        <v>104</v>
      </c>
      <c r="B117" s="6" t="s">
        <v>519</v>
      </c>
      <c r="C117" s="7" t="s">
        <v>520</v>
      </c>
      <c r="D117" s="7" t="s">
        <v>521</v>
      </c>
      <c r="E117" s="7" t="s">
        <v>522</v>
      </c>
      <c r="F117" s="13" t="s">
        <v>64</v>
      </c>
      <c r="G117" s="9" t="s">
        <v>523</v>
      </c>
      <c r="H117" s="5" t="s">
        <v>524</v>
      </c>
    </row>
    <row r="118" customFormat="false" ht="30" hidden="false" customHeight="true" outlineLevel="0" collapsed="false">
      <c r="A118" s="5" t="n">
        <v>105</v>
      </c>
      <c r="B118" s="6" t="s">
        <v>525</v>
      </c>
      <c r="C118" s="7" t="s">
        <v>526</v>
      </c>
      <c r="D118" s="7" t="s">
        <v>527</v>
      </c>
      <c r="E118" s="7" t="s">
        <v>528</v>
      </c>
      <c r="F118" s="13" t="s">
        <v>64</v>
      </c>
      <c r="G118" s="9" t="s">
        <v>529</v>
      </c>
      <c r="H118" s="5" t="s">
        <v>524</v>
      </c>
    </row>
    <row r="119" customFormat="false" ht="30" hidden="false" customHeight="true" outlineLevel="0" collapsed="false">
      <c r="A119" s="5" t="n">
        <v>106</v>
      </c>
      <c r="B119" s="6" t="s">
        <v>530</v>
      </c>
      <c r="C119" s="7" t="s">
        <v>531</v>
      </c>
      <c r="D119" s="7" t="s">
        <v>532</v>
      </c>
      <c r="E119" s="7" t="s">
        <v>533</v>
      </c>
      <c r="F119" s="13" t="s">
        <v>64</v>
      </c>
      <c r="G119" s="9" t="s">
        <v>534</v>
      </c>
      <c r="H119" s="5" t="s">
        <v>524</v>
      </c>
    </row>
    <row r="120" customFormat="false" ht="30" hidden="false" customHeight="true" outlineLevel="0" collapsed="false">
      <c r="A120" s="5" t="n">
        <v>107</v>
      </c>
      <c r="B120" s="6" t="s">
        <v>535</v>
      </c>
      <c r="C120" s="7" t="s">
        <v>536</v>
      </c>
      <c r="D120" s="7" t="s">
        <v>532</v>
      </c>
      <c r="E120" s="7" t="s">
        <v>537</v>
      </c>
      <c r="F120" s="13" t="s">
        <v>64</v>
      </c>
      <c r="G120" s="9" t="s">
        <v>534</v>
      </c>
      <c r="H120" s="5" t="s">
        <v>524</v>
      </c>
    </row>
    <row r="121" customFormat="false" ht="30" hidden="false" customHeight="true" outlineLevel="0" collapsed="false">
      <c r="A121" s="5" t="n">
        <v>108</v>
      </c>
      <c r="B121" s="6" t="s">
        <v>538</v>
      </c>
      <c r="C121" s="7" t="s">
        <v>539</v>
      </c>
      <c r="D121" s="7" t="s">
        <v>532</v>
      </c>
      <c r="E121" s="7" t="s">
        <v>540</v>
      </c>
      <c r="F121" s="13" t="s">
        <v>64</v>
      </c>
      <c r="G121" s="9" t="s">
        <v>541</v>
      </c>
      <c r="H121" s="5" t="s">
        <v>524</v>
      </c>
    </row>
    <row r="122" customFormat="false" ht="30" hidden="false" customHeight="true" outlineLevel="0" collapsed="false">
      <c r="A122" s="5" t="n">
        <v>109</v>
      </c>
      <c r="B122" s="6" t="s">
        <v>542</v>
      </c>
      <c r="C122" s="7" t="s">
        <v>543</v>
      </c>
      <c r="D122" s="7" t="s">
        <v>544</v>
      </c>
      <c r="E122" s="7" t="s">
        <v>545</v>
      </c>
      <c r="F122" s="13" t="s">
        <v>64</v>
      </c>
      <c r="G122" s="9" t="s">
        <v>546</v>
      </c>
      <c r="H122" s="5" t="s">
        <v>524</v>
      </c>
    </row>
    <row r="123" customFormat="false" ht="30" hidden="false" customHeight="true" outlineLevel="0" collapsed="false">
      <c r="A123" s="5" t="n">
        <v>110</v>
      </c>
      <c r="B123" s="6" t="s">
        <v>547</v>
      </c>
      <c r="C123" s="7" t="s">
        <v>548</v>
      </c>
      <c r="D123" s="7" t="s">
        <v>549</v>
      </c>
      <c r="E123" s="7" t="s">
        <v>550</v>
      </c>
      <c r="F123" s="13" t="s">
        <v>64</v>
      </c>
      <c r="G123" s="9" t="s">
        <v>551</v>
      </c>
      <c r="H123" s="5" t="s">
        <v>524</v>
      </c>
    </row>
    <row r="124" customFormat="false" ht="30" hidden="false" customHeight="true" outlineLevel="0" collapsed="false">
      <c r="A124" s="5" t="n">
        <v>111</v>
      </c>
      <c r="B124" s="6" t="s">
        <v>552</v>
      </c>
      <c r="C124" s="7" t="s">
        <v>553</v>
      </c>
      <c r="D124" s="7" t="s">
        <v>554</v>
      </c>
      <c r="E124" s="7" t="s">
        <v>555</v>
      </c>
      <c r="F124" s="13" t="s">
        <v>64</v>
      </c>
      <c r="G124" s="9" t="s">
        <v>556</v>
      </c>
      <c r="H124" s="5" t="s">
        <v>524</v>
      </c>
    </row>
    <row r="125" customFormat="false" ht="30" hidden="false" customHeight="true" outlineLevel="0" collapsed="false">
      <c r="A125" s="5" t="n">
        <v>112</v>
      </c>
      <c r="B125" s="6" t="s">
        <v>557</v>
      </c>
      <c r="C125" s="7" t="s">
        <v>558</v>
      </c>
      <c r="D125" s="7" t="s">
        <v>559</v>
      </c>
      <c r="E125" s="7" t="s">
        <v>560</v>
      </c>
      <c r="F125" s="13" t="s">
        <v>64</v>
      </c>
      <c r="G125" s="9" t="s">
        <v>561</v>
      </c>
      <c r="H125" s="5" t="s">
        <v>524</v>
      </c>
    </row>
    <row r="126" customFormat="false" ht="30" hidden="false" customHeight="true" outlineLevel="0" collapsed="false">
      <c r="A126" s="5" t="n">
        <v>113</v>
      </c>
      <c r="B126" s="6" t="s">
        <v>562</v>
      </c>
      <c r="C126" s="7" t="s">
        <v>563</v>
      </c>
      <c r="D126" s="7" t="s">
        <v>564</v>
      </c>
      <c r="E126" s="7" t="s">
        <v>565</v>
      </c>
      <c r="F126" s="13" t="s">
        <v>64</v>
      </c>
      <c r="G126" s="9" t="s">
        <v>566</v>
      </c>
      <c r="H126" s="5" t="s">
        <v>524</v>
      </c>
    </row>
    <row r="127" customFormat="false" ht="30" hidden="false" customHeight="true" outlineLevel="0" collapsed="false">
      <c r="A127" s="5" t="n">
        <v>114</v>
      </c>
      <c r="B127" s="6" t="s">
        <v>567</v>
      </c>
      <c r="C127" s="7" t="s">
        <v>568</v>
      </c>
      <c r="D127" s="7" t="s">
        <v>544</v>
      </c>
      <c r="E127" s="7" t="s">
        <v>569</v>
      </c>
      <c r="F127" s="13" t="s">
        <v>64</v>
      </c>
      <c r="G127" s="9" t="s">
        <v>570</v>
      </c>
      <c r="H127" s="5" t="s">
        <v>524</v>
      </c>
    </row>
    <row r="128" customFormat="false" ht="30" hidden="false" customHeight="true" outlineLevel="0" collapsed="false">
      <c r="A128" s="5" t="n">
        <v>115</v>
      </c>
      <c r="B128" s="6" t="s">
        <v>571</v>
      </c>
      <c r="C128" s="7" t="s">
        <v>572</v>
      </c>
      <c r="D128" s="7" t="s">
        <v>573</v>
      </c>
      <c r="E128" s="7" t="s">
        <v>574</v>
      </c>
      <c r="F128" s="13" t="s">
        <v>64</v>
      </c>
      <c r="G128" s="9" t="s">
        <v>575</v>
      </c>
      <c r="H128" s="5" t="s">
        <v>524</v>
      </c>
    </row>
    <row r="129" customFormat="false" ht="30" hidden="false" customHeight="true" outlineLevel="0" collapsed="false">
      <c r="A129" s="5" t="n">
        <v>116</v>
      </c>
      <c r="B129" s="6" t="s">
        <v>576</v>
      </c>
      <c r="C129" s="7" t="s">
        <v>577</v>
      </c>
      <c r="D129" s="7" t="s">
        <v>578</v>
      </c>
      <c r="E129" s="7" t="s">
        <v>579</v>
      </c>
      <c r="F129" s="11" t="s">
        <v>48</v>
      </c>
      <c r="G129" s="9" t="s">
        <v>580</v>
      </c>
      <c r="H129" s="5" t="s">
        <v>524</v>
      </c>
    </row>
    <row r="130" customFormat="false" ht="30" hidden="false" customHeight="true" outlineLevel="0" collapsed="false">
      <c r="A130" s="5" t="n">
        <v>117</v>
      </c>
      <c r="B130" s="6" t="s">
        <v>581</v>
      </c>
      <c r="C130" s="7" t="s">
        <v>582</v>
      </c>
      <c r="D130" s="7" t="s">
        <v>583</v>
      </c>
      <c r="E130" s="7" t="s">
        <v>584</v>
      </c>
      <c r="F130" s="13" t="s">
        <v>64</v>
      </c>
      <c r="G130" s="9" t="s">
        <v>585</v>
      </c>
      <c r="H130" s="5" t="s">
        <v>524</v>
      </c>
    </row>
    <row r="131" customFormat="false" ht="30" hidden="false" customHeight="true" outlineLevel="0" collapsed="false">
      <c r="A131" s="5" t="n">
        <v>118</v>
      </c>
      <c r="B131" s="6" t="s">
        <v>586</v>
      </c>
      <c r="C131" s="7" t="s">
        <v>587</v>
      </c>
      <c r="D131" s="7" t="s">
        <v>588</v>
      </c>
      <c r="E131" s="7" t="s">
        <v>589</v>
      </c>
      <c r="F131" s="13" t="s">
        <v>64</v>
      </c>
      <c r="G131" s="9" t="s">
        <v>590</v>
      </c>
      <c r="H131" s="5" t="s">
        <v>524</v>
      </c>
    </row>
    <row r="132" customFormat="false" ht="30" hidden="false" customHeight="true" outlineLevel="0" collapsed="false">
      <c r="A132" s="5" t="n">
        <v>119</v>
      </c>
      <c r="B132" s="6" t="s">
        <v>591</v>
      </c>
      <c r="C132" s="7" t="s">
        <v>592</v>
      </c>
      <c r="D132" s="7" t="s">
        <v>593</v>
      </c>
      <c r="E132" s="7" t="s">
        <v>594</v>
      </c>
      <c r="F132" s="11" t="s">
        <v>48</v>
      </c>
      <c r="G132" s="9" t="s">
        <v>595</v>
      </c>
      <c r="H132" s="5" t="s">
        <v>524</v>
      </c>
    </row>
    <row r="133" customFormat="false" ht="30" hidden="false" customHeight="true" outlineLevel="0" collapsed="false">
      <c r="A133" s="5" t="n">
        <v>120</v>
      </c>
      <c r="B133" s="6" t="s">
        <v>596</v>
      </c>
      <c r="C133" s="7" t="s">
        <v>597</v>
      </c>
      <c r="D133" s="7" t="s">
        <v>598</v>
      </c>
      <c r="E133" s="7" t="s">
        <v>594</v>
      </c>
      <c r="F133" s="11" t="s">
        <v>48</v>
      </c>
      <c r="G133" s="9" t="s">
        <v>599</v>
      </c>
      <c r="H133" s="5" t="s">
        <v>524</v>
      </c>
    </row>
    <row r="134" customFormat="false" ht="21.75" hidden="false" customHeight="true" outlineLevel="0" collapsed="false">
      <c r="A134" s="4" t="s">
        <v>600</v>
      </c>
      <c r="B134" s="4"/>
      <c r="C134" s="4"/>
      <c r="D134" s="4"/>
      <c r="E134" s="4"/>
      <c r="F134" s="4"/>
      <c r="G134" s="4"/>
      <c r="H134" s="4"/>
    </row>
    <row r="135" customFormat="false" ht="30" hidden="false" customHeight="true" outlineLevel="0" collapsed="false">
      <c r="A135" s="5" t="n">
        <v>121</v>
      </c>
      <c r="B135" s="6" t="s">
        <v>601</v>
      </c>
      <c r="C135" s="7" t="s">
        <v>602</v>
      </c>
      <c r="D135" s="7" t="s">
        <v>603</v>
      </c>
      <c r="E135" s="7" t="s">
        <v>604</v>
      </c>
      <c r="F135" s="8" t="s">
        <v>15</v>
      </c>
      <c r="G135" s="9" t="s">
        <v>285</v>
      </c>
      <c r="H135" s="5" t="s">
        <v>605</v>
      </c>
    </row>
    <row r="136" customFormat="false" ht="30" hidden="false" customHeight="true" outlineLevel="0" collapsed="false">
      <c r="A136" s="5" t="n">
        <v>122</v>
      </c>
      <c r="B136" s="6" t="s">
        <v>606</v>
      </c>
      <c r="C136" s="7" t="s">
        <v>607</v>
      </c>
      <c r="D136" s="7" t="s">
        <v>603</v>
      </c>
      <c r="E136" s="7" t="s">
        <v>608</v>
      </c>
      <c r="F136" s="8" t="s">
        <v>15</v>
      </c>
      <c r="G136" s="9" t="s">
        <v>285</v>
      </c>
      <c r="H136" s="5" t="s">
        <v>605</v>
      </c>
    </row>
    <row r="137" customFormat="false" ht="30" hidden="false" customHeight="true" outlineLevel="0" collapsed="false">
      <c r="A137" s="5" t="n">
        <v>123</v>
      </c>
      <c r="B137" s="6" t="s">
        <v>609</v>
      </c>
      <c r="C137" s="7" t="s">
        <v>610</v>
      </c>
      <c r="D137" s="7" t="s">
        <v>611</v>
      </c>
      <c r="E137" s="7" t="s">
        <v>612</v>
      </c>
      <c r="F137" s="11" t="s">
        <v>48</v>
      </c>
      <c r="G137" s="9" t="s">
        <v>613</v>
      </c>
      <c r="H137" s="5" t="s">
        <v>605</v>
      </c>
    </row>
    <row r="138" customFormat="false" ht="30" hidden="false" customHeight="true" outlineLevel="0" collapsed="false">
      <c r="A138" s="5" t="n">
        <v>124</v>
      </c>
      <c r="B138" s="6" t="s">
        <v>614</v>
      </c>
      <c r="C138" s="7" t="s">
        <v>615</v>
      </c>
      <c r="D138" s="7" t="s">
        <v>616</v>
      </c>
      <c r="E138" s="7" t="s">
        <v>617</v>
      </c>
      <c r="F138" s="11" t="s">
        <v>48</v>
      </c>
      <c r="G138" s="9" t="s">
        <v>618</v>
      </c>
      <c r="H138" s="5" t="s">
        <v>605</v>
      </c>
    </row>
    <row r="139" customFormat="false" ht="30" hidden="false" customHeight="true" outlineLevel="0" collapsed="false">
      <c r="A139" s="5" t="n">
        <v>125</v>
      </c>
      <c r="B139" s="6" t="s">
        <v>619</v>
      </c>
      <c r="C139" s="7" t="s">
        <v>620</v>
      </c>
      <c r="D139" s="7" t="s">
        <v>621</v>
      </c>
      <c r="E139" s="7" t="s">
        <v>622</v>
      </c>
      <c r="F139" s="13" t="s">
        <v>64</v>
      </c>
      <c r="G139" s="9" t="s">
        <v>623</v>
      </c>
      <c r="H139" s="5" t="s">
        <v>605</v>
      </c>
    </row>
    <row r="140" customFormat="false" ht="30" hidden="false" customHeight="true" outlineLevel="0" collapsed="false">
      <c r="A140" s="5" t="n">
        <v>126</v>
      </c>
      <c r="B140" s="6" t="s">
        <v>624</v>
      </c>
      <c r="C140" s="7" t="s">
        <v>625</v>
      </c>
      <c r="D140" s="7" t="s">
        <v>626</v>
      </c>
      <c r="E140" s="7" t="s">
        <v>627</v>
      </c>
      <c r="F140" s="13" t="s">
        <v>64</v>
      </c>
      <c r="G140" s="9" t="s">
        <v>628</v>
      </c>
      <c r="H140" s="5" t="s">
        <v>605</v>
      </c>
    </row>
    <row r="141" customFormat="false" ht="30" hidden="false" customHeight="true" outlineLevel="0" collapsed="false">
      <c r="A141" s="5" t="n">
        <v>127</v>
      </c>
      <c r="B141" s="6" t="s">
        <v>629</v>
      </c>
      <c r="C141" s="7" t="s">
        <v>630</v>
      </c>
      <c r="D141" s="7" t="s">
        <v>631</v>
      </c>
      <c r="E141" s="7" t="s">
        <v>632</v>
      </c>
      <c r="F141" s="13" t="s">
        <v>64</v>
      </c>
      <c r="G141" s="9" t="s">
        <v>633</v>
      </c>
      <c r="H141" s="5" t="s">
        <v>605</v>
      </c>
    </row>
    <row r="142" customFormat="false" ht="30" hidden="false" customHeight="true" outlineLevel="0" collapsed="false">
      <c r="A142" s="5" t="n">
        <v>128</v>
      </c>
      <c r="B142" s="6" t="s">
        <v>634</v>
      </c>
      <c r="C142" s="7" t="s">
        <v>635</v>
      </c>
      <c r="D142" s="7" t="s">
        <v>636</v>
      </c>
      <c r="E142" s="7" t="s">
        <v>637</v>
      </c>
      <c r="F142" s="11" t="s">
        <v>48</v>
      </c>
      <c r="G142" s="9" t="s">
        <v>638</v>
      </c>
      <c r="H142" s="5" t="s">
        <v>605</v>
      </c>
    </row>
    <row r="143" customFormat="false" ht="30" hidden="false" customHeight="true" outlineLevel="0" collapsed="false">
      <c r="A143" s="5" t="n">
        <v>129</v>
      </c>
      <c r="B143" s="6" t="s">
        <v>639</v>
      </c>
      <c r="C143" s="7" t="s">
        <v>640</v>
      </c>
      <c r="D143" s="7" t="s">
        <v>641</v>
      </c>
      <c r="E143" s="7" t="s">
        <v>642</v>
      </c>
      <c r="F143" s="13" t="s">
        <v>64</v>
      </c>
      <c r="G143" s="9" t="s">
        <v>643</v>
      </c>
      <c r="H143" s="5" t="s">
        <v>605</v>
      </c>
    </row>
    <row r="144" customFormat="false" ht="30" hidden="false" customHeight="true" outlineLevel="0" collapsed="false">
      <c r="A144" s="5" t="n">
        <v>130</v>
      </c>
      <c r="B144" s="6" t="s">
        <v>644</v>
      </c>
      <c r="C144" s="7" t="s">
        <v>645</v>
      </c>
      <c r="D144" s="7" t="s">
        <v>646</v>
      </c>
      <c r="E144" s="7" t="s">
        <v>174</v>
      </c>
      <c r="F144" s="13" t="s">
        <v>64</v>
      </c>
      <c r="G144" s="9" t="s">
        <v>647</v>
      </c>
      <c r="H144" s="5" t="s">
        <v>605</v>
      </c>
    </row>
    <row r="145" customFormat="false" ht="30" hidden="false" customHeight="true" outlineLevel="0" collapsed="false">
      <c r="A145" s="5" t="n">
        <v>131</v>
      </c>
      <c r="B145" s="6" t="s">
        <v>648</v>
      </c>
      <c r="C145" s="7" t="s">
        <v>649</v>
      </c>
      <c r="D145" s="7" t="s">
        <v>650</v>
      </c>
      <c r="E145" s="7" t="s">
        <v>651</v>
      </c>
      <c r="F145" s="13" t="s">
        <v>64</v>
      </c>
      <c r="G145" s="9" t="s">
        <v>652</v>
      </c>
      <c r="H145" s="5" t="s">
        <v>605</v>
      </c>
    </row>
    <row r="146" customFormat="false" ht="30" hidden="false" customHeight="true" outlineLevel="0" collapsed="false">
      <c r="A146" s="5" t="n">
        <v>132</v>
      </c>
      <c r="B146" s="6" t="s">
        <v>653</v>
      </c>
      <c r="C146" s="7" t="s">
        <v>654</v>
      </c>
      <c r="D146" s="7" t="s">
        <v>655</v>
      </c>
      <c r="E146" s="7" t="s">
        <v>656</v>
      </c>
      <c r="F146" s="13" t="s">
        <v>64</v>
      </c>
      <c r="G146" s="9" t="s">
        <v>657</v>
      </c>
      <c r="H146" s="5" t="s">
        <v>605</v>
      </c>
    </row>
    <row r="147" customFormat="false" ht="30" hidden="false" customHeight="true" outlineLevel="0" collapsed="false">
      <c r="A147" s="5" t="n">
        <v>133</v>
      </c>
      <c r="B147" s="6" t="s">
        <v>658</v>
      </c>
      <c r="C147" s="7" t="s">
        <v>659</v>
      </c>
      <c r="D147" s="7" t="s">
        <v>660</v>
      </c>
      <c r="E147" s="7" t="s">
        <v>661</v>
      </c>
      <c r="F147" s="15" t="s">
        <v>458</v>
      </c>
      <c r="G147" s="9" t="s">
        <v>662</v>
      </c>
      <c r="H147" s="5" t="s">
        <v>605</v>
      </c>
    </row>
    <row r="148" customFormat="false" ht="21.75" hidden="false" customHeight="true" outlineLevel="0" collapsed="false">
      <c r="A148" s="4" t="s">
        <v>663</v>
      </c>
      <c r="B148" s="4"/>
      <c r="C148" s="4"/>
      <c r="D148" s="4"/>
      <c r="E148" s="4"/>
      <c r="F148" s="4"/>
      <c r="G148" s="4"/>
      <c r="H148" s="4"/>
    </row>
    <row r="149" customFormat="false" ht="30" hidden="false" customHeight="true" outlineLevel="0" collapsed="false">
      <c r="A149" s="5" t="n">
        <v>134</v>
      </c>
      <c r="B149" s="6" t="s">
        <v>664</v>
      </c>
      <c r="C149" s="7" t="s">
        <v>665</v>
      </c>
      <c r="D149" s="7" t="s">
        <v>666</v>
      </c>
      <c r="E149" s="7" t="s">
        <v>667</v>
      </c>
      <c r="F149" s="13" t="s">
        <v>64</v>
      </c>
      <c r="G149" s="9" t="s">
        <v>668</v>
      </c>
      <c r="H149" s="5" t="s">
        <v>669</v>
      </c>
    </row>
    <row r="150" customFormat="false" ht="30" hidden="false" customHeight="true" outlineLevel="0" collapsed="false">
      <c r="A150" s="5" t="n">
        <v>135</v>
      </c>
      <c r="B150" s="6" t="s">
        <v>670</v>
      </c>
      <c r="C150" s="7" t="s">
        <v>671</v>
      </c>
      <c r="D150" s="7" t="s">
        <v>672</v>
      </c>
      <c r="E150" s="7" t="s">
        <v>673</v>
      </c>
      <c r="F150" s="14" t="s">
        <v>90</v>
      </c>
      <c r="G150" s="9" t="s">
        <v>674</v>
      </c>
      <c r="H150" s="5" t="s">
        <v>669</v>
      </c>
    </row>
    <row r="151" customFormat="false" ht="30" hidden="false" customHeight="true" outlineLevel="0" collapsed="false">
      <c r="A151" s="5" t="n">
        <v>136</v>
      </c>
      <c r="B151" s="6" t="s">
        <v>675</v>
      </c>
      <c r="C151" s="7" t="s">
        <v>676</v>
      </c>
      <c r="D151" s="7" t="s">
        <v>677</v>
      </c>
      <c r="E151" s="7" t="s">
        <v>678</v>
      </c>
      <c r="F151" s="12" t="s">
        <v>57</v>
      </c>
      <c r="G151" s="9" t="s">
        <v>679</v>
      </c>
      <c r="H151" s="5" t="s">
        <v>669</v>
      </c>
    </row>
    <row r="152" customFormat="false" ht="30" hidden="false" customHeight="true" outlineLevel="0" collapsed="false">
      <c r="A152" s="5" t="n">
        <v>137</v>
      </c>
      <c r="B152" s="6" t="s">
        <v>680</v>
      </c>
      <c r="C152" s="7" t="s">
        <v>681</v>
      </c>
      <c r="D152" s="7" t="s">
        <v>682</v>
      </c>
      <c r="E152" s="7" t="s">
        <v>683</v>
      </c>
      <c r="F152" s="13" t="s">
        <v>64</v>
      </c>
      <c r="G152" s="9" t="s">
        <v>684</v>
      </c>
      <c r="H152" s="5" t="s">
        <v>669</v>
      </c>
    </row>
    <row r="153" customFormat="false" ht="30" hidden="false" customHeight="true" outlineLevel="0" collapsed="false">
      <c r="A153" s="5" t="n">
        <v>138</v>
      </c>
      <c r="B153" s="6" t="s">
        <v>685</v>
      </c>
      <c r="C153" s="7" t="s">
        <v>686</v>
      </c>
      <c r="D153" s="7" t="s">
        <v>687</v>
      </c>
      <c r="E153" s="7" t="s">
        <v>688</v>
      </c>
      <c r="F153" s="11" t="s">
        <v>48</v>
      </c>
      <c r="G153" s="9" t="s">
        <v>689</v>
      </c>
      <c r="H153" s="5" t="s">
        <v>669</v>
      </c>
    </row>
    <row r="154" customFormat="false" ht="30" hidden="false" customHeight="true" outlineLevel="0" collapsed="false">
      <c r="A154" s="5" t="n">
        <v>139</v>
      </c>
      <c r="B154" s="6" t="s">
        <v>690</v>
      </c>
      <c r="C154" s="7" t="s">
        <v>691</v>
      </c>
      <c r="D154" s="7" t="s">
        <v>692</v>
      </c>
      <c r="E154" s="7" t="s">
        <v>688</v>
      </c>
      <c r="F154" s="11" t="s">
        <v>48</v>
      </c>
      <c r="G154" s="9" t="s">
        <v>693</v>
      </c>
      <c r="H154" s="5" t="s">
        <v>669</v>
      </c>
    </row>
    <row r="155" customFormat="false" ht="30" hidden="false" customHeight="true" outlineLevel="0" collapsed="false">
      <c r="A155" s="5" t="n">
        <v>140</v>
      </c>
      <c r="B155" s="6" t="s">
        <v>694</v>
      </c>
      <c r="C155" s="7" t="s">
        <v>695</v>
      </c>
      <c r="D155" s="7" t="s">
        <v>696</v>
      </c>
      <c r="E155" s="7" t="s">
        <v>697</v>
      </c>
      <c r="F155" s="14" t="s">
        <v>90</v>
      </c>
      <c r="G155" s="9" t="s">
        <v>698</v>
      </c>
      <c r="H155" s="5" t="s">
        <v>669</v>
      </c>
    </row>
    <row r="156" customFormat="false" ht="30" hidden="false" customHeight="true" outlineLevel="0" collapsed="false">
      <c r="A156" s="5" t="n">
        <v>141</v>
      </c>
      <c r="B156" s="6" t="s">
        <v>699</v>
      </c>
      <c r="C156" s="7" t="s">
        <v>700</v>
      </c>
      <c r="D156" s="7" t="s">
        <v>701</v>
      </c>
      <c r="E156" s="7" t="s">
        <v>702</v>
      </c>
      <c r="F156" s="13" t="s">
        <v>64</v>
      </c>
      <c r="G156" s="9" t="s">
        <v>703</v>
      </c>
      <c r="H156" s="5" t="s">
        <v>669</v>
      </c>
    </row>
    <row r="157" customFormat="false" ht="30" hidden="false" customHeight="true" outlineLevel="0" collapsed="false">
      <c r="A157" s="5" t="n">
        <v>142</v>
      </c>
      <c r="B157" s="6" t="s">
        <v>704</v>
      </c>
      <c r="C157" s="7" t="s">
        <v>705</v>
      </c>
      <c r="D157" s="7" t="s">
        <v>706</v>
      </c>
      <c r="E157" s="7" t="s">
        <v>707</v>
      </c>
      <c r="F157" s="13" t="s">
        <v>64</v>
      </c>
      <c r="G157" s="9" t="s">
        <v>708</v>
      </c>
      <c r="H157" s="5" t="s">
        <v>669</v>
      </c>
    </row>
    <row r="158" customFormat="false" ht="30" hidden="false" customHeight="true" outlineLevel="0" collapsed="false">
      <c r="A158" s="5" t="n">
        <v>143</v>
      </c>
      <c r="B158" s="6" t="s">
        <v>709</v>
      </c>
      <c r="C158" s="7" t="s">
        <v>710</v>
      </c>
      <c r="D158" s="7" t="s">
        <v>711</v>
      </c>
      <c r="E158" s="7" t="s">
        <v>398</v>
      </c>
      <c r="F158" s="11" t="s">
        <v>48</v>
      </c>
      <c r="G158" s="9" t="s">
        <v>712</v>
      </c>
      <c r="H158" s="5" t="s">
        <v>669</v>
      </c>
    </row>
    <row r="159" customFormat="false" ht="30" hidden="false" customHeight="true" outlineLevel="0" collapsed="false">
      <c r="A159" s="5" t="n">
        <v>144</v>
      </c>
      <c r="B159" s="6" t="s">
        <v>713</v>
      </c>
      <c r="C159" s="7" t="s">
        <v>714</v>
      </c>
      <c r="D159" s="7" t="s">
        <v>715</v>
      </c>
      <c r="E159" s="7" t="s">
        <v>716</v>
      </c>
      <c r="F159" s="13" t="s">
        <v>64</v>
      </c>
      <c r="G159" s="9" t="s">
        <v>717</v>
      </c>
      <c r="H159" s="5" t="s">
        <v>669</v>
      </c>
    </row>
    <row r="160" customFormat="false" ht="30" hidden="false" customHeight="true" outlineLevel="0" collapsed="false">
      <c r="A160" s="5" t="n">
        <v>145</v>
      </c>
      <c r="B160" s="6" t="s">
        <v>718</v>
      </c>
      <c r="C160" s="7" t="s">
        <v>719</v>
      </c>
      <c r="D160" s="7" t="s">
        <v>720</v>
      </c>
      <c r="E160" s="7" t="s">
        <v>721</v>
      </c>
      <c r="F160" s="15" t="s">
        <v>458</v>
      </c>
      <c r="G160" s="9" t="s">
        <v>722</v>
      </c>
      <c r="H160" s="5" t="s">
        <v>669</v>
      </c>
    </row>
    <row r="161" customFormat="false" ht="30" hidden="false" customHeight="true" outlineLevel="0" collapsed="false">
      <c r="A161" s="5" t="n">
        <v>146</v>
      </c>
      <c r="B161" s="6" t="s">
        <v>723</v>
      </c>
      <c r="C161" s="7" t="s">
        <v>724</v>
      </c>
      <c r="D161" s="7" t="s">
        <v>725</v>
      </c>
      <c r="E161" s="7" t="s">
        <v>726</v>
      </c>
      <c r="F161" s="15" t="s">
        <v>458</v>
      </c>
      <c r="G161" s="9" t="s">
        <v>727</v>
      </c>
      <c r="H161" s="5" t="s">
        <v>669</v>
      </c>
    </row>
    <row r="162" customFormat="false" ht="30" hidden="false" customHeight="true" outlineLevel="0" collapsed="false">
      <c r="A162" s="5" t="n">
        <v>147</v>
      </c>
      <c r="B162" s="6" t="s">
        <v>728</v>
      </c>
      <c r="C162" s="7" t="s">
        <v>729</v>
      </c>
      <c r="D162" s="7" t="s">
        <v>730</v>
      </c>
      <c r="E162" s="7" t="s">
        <v>731</v>
      </c>
      <c r="F162" s="15" t="s">
        <v>458</v>
      </c>
      <c r="G162" s="9" t="s">
        <v>732</v>
      </c>
      <c r="H162" s="5" t="s">
        <v>669</v>
      </c>
    </row>
    <row r="163" customFormat="false" ht="30" hidden="false" customHeight="true" outlineLevel="0" collapsed="false">
      <c r="A163" s="5" t="n">
        <v>148</v>
      </c>
      <c r="B163" s="6" t="s">
        <v>733</v>
      </c>
      <c r="C163" s="7" t="s">
        <v>734</v>
      </c>
      <c r="D163" s="7" t="s">
        <v>735</v>
      </c>
      <c r="E163" s="7" t="s">
        <v>736</v>
      </c>
      <c r="F163" s="13" t="s">
        <v>64</v>
      </c>
      <c r="G163" s="9" t="s">
        <v>737</v>
      </c>
      <c r="H163" s="5" t="s">
        <v>669</v>
      </c>
    </row>
    <row r="164" customFormat="false" ht="30" hidden="false" customHeight="true" outlineLevel="0" collapsed="false">
      <c r="A164" s="5" t="n">
        <v>149</v>
      </c>
      <c r="B164" s="6" t="s">
        <v>738</v>
      </c>
      <c r="C164" s="7" t="s">
        <v>739</v>
      </c>
      <c r="D164" s="7" t="s">
        <v>740</v>
      </c>
      <c r="E164" s="7" t="s">
        <v>741</v>
      </c>
      <c r="F164" s="15" t="s">
        <v>458</v>
      </c>
      <c r="G164" s="9" t="s">
        <v>742</v>
      </c>
      <c r="H164" s="5" t="s">
        <v>669</v>
      </c>
    </row>
    <row r="165" customFormat="false" ht="21.75" hidden="false" customHeight="true" outlineLevel="0" collapsed="false">
      <c r="A165" s="4" t="s">
        <v>743</v>
      </c>
      <c r="B165" s="4"/>
      <c r="C165" s="4"/>
      <c r="D165" s="4"/>
      <c r="E165" s="4"/>
      <c r="F165" s="4"/>
      <c r="G165" s="4"/>
      <c r="H165" s="4"/>
    </row>
    <row r="166" customFormat="false" ht="30" hidden="false" customHeight="true" outlineLevel="0" collapsed="false">
      <c r="A166" s="5" t="n">
        <v>150</v>
      </c>
      <c r="B166" s="6" t="s">
        <v>744</v>
      </c>
      <c r="C166" s="7" t="s">
        <v>745</v>
      </c>
      <c r="D166" s="7" t="s">
        <v>746</v>
      </c>
      <c r="E166" s="7" t="s">
        <v>747</v>
      </c>
      <c r="F166" s="13" t="s">
        <v>64</v>
      </c>
      <c r="G166" s="9" t="s">
        <v>748</v>
      </c>
      <c r="H166" s="5" t="s">
        <v>749</v>
      </c>
    </row>
    <row r="167" customFormat="false" ht="30" hidden="false" customHeight="true" outlineLevel="0" collapsed="false">
      <c r="A167" s="5" t="n">
        <v>151</v>
      </c>
      <c r="B167" s="6" t="s">
        <v>750</v>
      </c>
      <c r="C167" s="7" t="s">
        <v>751</v>
      </c>
      <c r="D167" s="7" t="s">
        <v>752</v>
      </c>
      <c r="E167" s="7" t="s">
        <v>753</v>
      </c>
      <c r="F167" s="13" t="s">
        <v>64</v>
      </c>
      <c r="G167" s="9" t="s">
        <v>754</v>
      </c>
      <c r="H167" s="5" t="s">
        <v>749</v>
      </c>
    </row>
    <row r="168" customFormat="false" ht="30" hidden="false" customHeight="true" outlineLevel="0" collapsed="false">
      <c r="A168" s="5" t="n">
        <v>152</v>
      </c>
      <c r="B168" s="6" t="s">
        <v>755</v>
      </c>
      <c r="C168" s="7" t="s">
        <v>756</v>
      </c>
      <c r="D168" s="7" t="s">
        <v>757</v>
      </c>
      <c r="E168" s="7" t="s">
        <v>758</v>
      </c>
      <c r="F168" s="14" t="s">
        <v>90</v>
      </c>
      <c r="G168" s="9" t="s">
        <v>759</v>
      </c>
      <c r="H168" s="5" t="s">
        <v>749</v>
      </c>
    </row>
    <row r="169" customFormat="false" ht="30" hidden="false" customHeight="true" outlineLevel="0" collapsed="false">
      <c r="A169" s="5" t="n">
        <v>153</v>
      </c>
      <c r="B169" s="6" t="s">
        <v>760</v>
      </c>
      <c r="C169" s="7" t="s">
        <v>761</v>
      </c>
      <c r="D169" s="7" t="s">
        <v>762</v>
      </c>
      <c r="E169" s="7" t="s">
        <v>763</v>
      </c>
      <c r="F169" s="13" t="s">
        <v>64</v>
      </c>
      <c r="G169" s="9" t="s">
        <v>764</v>
      </c>
      <c r="H169" s="5" t="s">
        <v>749</v>
      </c>
    </row>
    <row r="170" customFormat="false" ht="30" hidden="false" customHeight="true" outlineLevel="0" collapsed="false">
      <c r="A170" s="5" t="n">
        <v>154</v>
      </c>
      <c r="B170" s="6" t="s">
        <v>765</v>
      </c>
      <c r="C170" s="7" t="s">
        <v>766</v>
      </c>
      <c r="D170" s="7" t="s">
        <v>767</v>
      </c>
      <c r="E170" s="7" t="s">
        <v>768</v>
      </c>
      <c r="F170" s="13" t="s">
        <v>64</v>
      </c>
      <c r="G170" s="9" t="s">
        <v>769</v>
      </c>
      <c r="H170" s="5" t="s">
        <v>749</v>
      </c>
    </row>
    <row r="171" customFormat="false" ht="30" hidden="false" customHeight="true" outlineLevel="0" collapsed="false">
      <c r="A171" s="5" t="n">
        <v>155</v>
      </c>
      <c r="B171" s="6" t="s">
        <v>770</v>
      </c>
      <c r="C171" s="7" t="s">
        <v>771</v>
      </c>
      <c r="D171" s="7" t="s">
        <v>772</v>
      </c>
      <c r="E171" s="7" t="s">
        <v>773</v>
      </c>
      <c r="F171" s="13" t="s">
        <v>64</v>
      </c>
      <c r="G171" s="9" t="s">
        <v>774</v>
      </c>
      <c r="H171" s="5" t="s">
        <v>749</v>
      </c>
    </row>
    <row r="172" customFormat="false" ht="30" hidden="false" customHeight="true" outlineLevel="0" collapsed="false">
      <c r="A172" s="5" t="n">
        <v>156</v>
      </c>
      <c r="B172" s="6" t="s">
        <v>775</v>
      </c>
      <c r="C172" s="7" t="s">
        <v>776</v>
      </c>
      <c r="D172" s="7" t="s">
        <v>777</v>
      </c>
      <c r="E172" s="7" t="s">
        <v>778</v>
      </c>
      <c r="F172" s="13" t="s">
        <v>64</v>
      </c>
      <c r="G172" s="9" t="s">
        <v>779</v>
      </c>
      <c r="H172" s="5" t="s">
        <v>749</v>
      </c>
    </row>
    <row r="173" customFormat="false" ht="30" hidden="false" customHeight="true" outlineLevel="0" collapsed="false">
      <c r="A173" s="5" t="n">
        <v>157</v>
      </c>
      <c r="B173" s="6" t="s">
        <v>780</v>
      </c>
      <c r="C173" s="7" t="s">
        <v>781</v>
      </c>
      <c r="D173" s="7" t="s">
        <v>782</v>
      </c>
      <c r="E173" s="7" t="s">
        <v>783</v>
      </c>
      <c r="F173" s="13" t="s">
        <v>64</v>
      </c>
      <c r="G173" s="9" t="s">
        <v>784</v>
      </c>
      <c r="H173" s="5" t="s">
        <v>749</v>
      </c>
    </row>
    <row r="174" customFormat="false" ht="30" hidden="false" customHeight="true" outlineLevel="0" collapsed="false">
      <c r="A174" s="5" t="n">
        <v>158</v>
      </c>
      <c r="B174" s="6" t="s">
        <v>785</v>
      </c>
      <c r="C174" s="7" t="s">
        <v>786</v>
      </c>
      <c r="D174" s="7" t="s">
        <v>787</v>
      </c>
      <c r="E174" s="7" t="s">
        <v>788</v>
      </c>
      <c r="F174" s="13" t="s">
        <v>64</v>
      </c>
      <c r="G174" s="9" t="s">
        <v>789</v>
      </c>
      <c r="H174" s="5" t="s">
        <v>749</v>
      </c>
    </row>
    <row r="175" customFormat="false" ht="30" hidden="false" customHeight="true" outlineLevel="0" collapsed="false">
      <c r="A175" s="5" t="n">
        <v>159</v>
      </c>
      <c r="B175" s="6" t="s">
        <v>790</v>
      </c>
      <c r="C175" s="7" t="s">
        <v>791</v>
      </c>
      <c r="D175" s="7" t="s">
        <v>792</v>
      </c>
      <c r="E175" s="7" t="s">
        <v>793</v>
      </c>
      <c r="F175" s="11" t="s">
        <v>48</v>
      </c>
      <c r="G175" s="9" t="s">
        <v>794</v>
      </c>
      <c r="H175" s="5" t="s">
        <v>749</v>
      </c>
    </row>
    <row r="176" customFormat="false" ht="30" hidden="false" customHeight="true" outlineLevel="0" collapsed="false">
      <c r="A176" s="5" t="n">
        <v>160</v>
      </c>
      <c r="B176" s="6" t="s">
        <v>795</v>
      </c>
      <c r="C176" s="7" t="s">
        <v>796</v>
      </c>
      <c r="D176" s="7" t="s">
        <v>797</v>
      </c>
      <c r="E176" s="7" t="s">
        <v>798</v>
      </c>
      <c r="F176" s="15" t="s">
        <v>458</v>
      </c>
      <c r="G176" s="9" t="s">
        <v>799</v>
      </c>
      <c r="H176" s="5" t="s">
        <v>749</v>
      </c>
    </row>
    <row r="177" customFormat="false" ht="30" hidden="false" customHeight="true" outlineLevel="0" collapsed="false">
      <c r="A177" s="5" t="n">
        <v>161</v>
      </c>
      <c r="B177" s="6" t="s">
        <v>800</v>
      </c>
      <c r="C177" s="7" t="s">
        <v>801</v>
      </c>
      <c r="D177" s="7" t="s">
        <v>802</v>
      </c>
      <c r="E177" s="7" t="s">
        <v>803</v>
      </c>
      <c r="F177" s="15" t="s">
        <v>458</v>
      </c>
      <c r="G177" s="9" t="s">
        <v>804</v>
      </c>
      <c r="H177" s="5" t="s">
        <v>749</v>
      </c>
    </row>
    <row r="178" customFormat="false" ht="30" hidden="false" customHeight="true" outlineLevel="0" collapsed="false">
      <c r="A178" s="5" t="n">
        <v>162</v>
      </c>
      <c r="B178" s="6" t="s">
        <v>805</v>
      </c>
      <c r="C178" s="7" t="s">
        <v>806</v>
      </c>
      <c r="D178" s="7" t="s">
        <v>807</v>
      </c>
      <c r="E178" s="7" t="s">
        <v>808</v>
      </c>
      <c r="F178" s="15" t="s">
        <v>458</v>
      </c>
      <c r="G178" s="9" t="s">
        <v>809</v>
      </c>
      <c r="H178" s="5" t="s">
        <v>749</v>
      </c>
    </row>
    <row r="179" customFormat="false" ht="30" hidden="false" customHeight="true" outlineLevel="0" collapsed="false">
      <c r="A179" s="5" t="n">
        <v>163</v>
      </c>
      <c r="B179" s="6" t="s">
        <v>810</v>
      </c>
      <c r="C179" s="7" t="s">
        <v>811</v>
      </c>
      <c r="D179" s="7" t="s">
        <v>812</v>
      </c>
      <c r="E179" s="7" t="s">
        <v>813</v>
      </c>
      <c r="F179" s="16" t="s">
        <v>814</v>
      </c>
      <c r="G179" s="9" t="s">
        <v>815</v>
      </c>
      <c r="H179" s="5" t="s">
        <v>749</v>
      </c>
    </row>
    <row r="180" customFormat="false" ht="30" hidden="false" customHeight="true" outlineLevel="0" collapsed="false">
      <c r="A180" s="5" t="n">
        <v>164</v>
      </c>
      <c r="B180" s="6" t="s">
        <v>816</v>
      </c>
      <c r="C180" s="7" t="s">
        <v>817</v>
      </c>
      <c r="D180" s="7" t="s">
        <v>818</v>
      </c>
      <c r="E180" s="7" t="s">
        <v>819</v>
      </c>
      <c r="F180" s="16" t="s">
        <v>814</v>
      </c>
      <c r="G180" s="9" t="s">
        <v>820</v>
      </c>
      <c r="H180" s="5" t="s">
        <v>749</v>
      </c>
    </row>
    <row r="181" customFormat="false" ht="21.75" hidden="false" customHeight="true" outlineLevel="0" collapsed="false">
      <c r="A181" s="4" t="s">
        <v>821</v>
      </c>
      <c r="B181" s="4"/>
      <c r="C181" s="4"/>
      <c r="D181" s="4"/>
      <c r="E181" s="4"/>
      <c r="F181" s="4"/>
      <c r="G181" s="4"/>
      <c r="H181" s="4"/>
    </row>
    <row r="182" customFormat="false" ht="30" hidden="false" customHeight="true" outlineLevel="0" collapsed="false">
      <c r="A182" s="5" t="n">
        <v>165</v>
      </c>
      <c r="B182" s="6" t="s">
        <v>822</v>
      </c>
      <c r="C182" s="7" t="s">
        <v>823</v>
      </c>
      <c r="D182" s="7" t="s">
        <v>824</v>
      </c>
      <c r="E182" s="7" t="s">
        <v>825</v>
      </c>
      <c r="F182" s="13" t="s">
        <v>64</v>
      </c>
      <c r="G182" s="9" t="s">
        <v>826</v>
      </c>
      <c r="H182" s="5" t="s">
        <v>827</v>
      </c>
    </row>
    <row r="183" customFormat="false" ht="30" hidden="false" customHeight="true" outlineLevel="0" collapsed="false">
      <c r="A183" s="5" t="n">
        <v>166</v>
      </c>
      <c r="B183" s="6" t="s">
        <v>828</v>
      </c>
      <c r="C183" s="7" t="s">
        <v>829</v>
      </c>
      <c r="D183" s="7" t="s">
        <v>830</v>
      </c>
      <c r="E183" s="7" t="s">
        <v>831</v>
      </c>
      <c r="F183" s="13" t="s">
        <v>64</v>
      </c>
      <c r="G183" s="9" t="s">
        <v>832</v>
      </c>
      <c r="H183" s="5" t="s">
        <v>827</v>
      </c>
    </row>
    <row r="184" customFormat="false" ht="30" hidden="false" customHeight="true" outlineLevel="0" collapsed="false">
      <c r="A184" s="5" t="n">
        <v>167</v>
      </c>
      <c r="B184" s="6" t="s">
        <v>833</v>
      </c>
      <c r="C184" s="7" t="s">
        <v>834</v>
      </c>
      <c r="D184" s="7" t="s">
        <v>835</v>
      </c>
      <c r="E184" s="7" t="s">
        <v>836</v>
      </c>
      <c r="F184" s="8" t="s">
        <v>15</v>
      </c>
      <c r="G184" s="9" t="s">
        <v>837</v>
      </c>
      <c r="H184" s="5" t="s">
        <v>827</v>
      </c>
    </row>
    <row r="185" customFormat="false" ht="30" hidden="false" customHeight="true" outlineLevel="0" collapsed="false">
      <c r="A185" s="5" t="n">
        <v>168</v>
      </c>
      <c r="B185" s="6" t="s">
        <v>838</v>
      </c>
      <c r="C185" s="7" t="s">
        <v>839</v>
      </c>
      <c r="D185" s="7" t="s">
        <v>840</v>
      </c>
      <c r="E185" s="7" t="s">
        <v>841</v>
      </c>
      <c r="F185" s="8" t="s">
        <v>15</v>
      </c>
      <c r="G185" s="9" t="s">
        <v>842</v>
      </c>
      <c r="H185" s="5" t="s">
        <v>827</v>
      </c>
    </row>
    <row r="186" customFormat="false" ht="30" hidden="false" customHeight="true" outlineLevel="0" collapsed="false">
      <c r="A186" s="5" t="n">
        <v>169</v>
      </c>
      <c r="B186" s="6" t="s">
        <v>843</v>
      </c>
      <c r="C186" s="7" t="s">
        <v>844</v>
      </c>
      <c r="D186" s="7" t="s">
        <v>845</v>
      </c>
      <c r="E186" s="7" t="s">
        <v>846</v>
      </c>
      <c r="F186" s="13" t="s">
        <v>64</v>
      </c>
      <c r="G186" s="9" t="s">
        <v>847</v>
      </c>
      <c r="H186" s="5" t="s">
        <v>827</v>
      </c>
    </row>
    <row r="187" customFormat="false" ht="30" hidden="false" customHeight="true" outlineLevel="0" collapsed="false">
      <c r="A187" s="5" t="n">
        <v>170</v>
      </c>
      <c r="B187" s="6" t="s">
        <v>848</v>
      </c>
      <c r="C187" s="7" t="s">
        <v>849</v>
      </c>
      <c r="D187" s="7" t="s">
        <v>850</v>
      </c>
      <c r="E187" s="7" t="s">
        <v>851</v>
      </c>
      <c r="F187" s="8" t="s">
        <v>15</v>
      </c>
      <c r="G187" s="9" t="s">
        <v>852</v>
      </c>
      <c r="H187" s="5" t="s">
        <v>827</v>
      </c>
    </row>
    <row r="188" customFormat="false" ht="30" hidden="false" customHeight="true" outlineLevel="0" collapsed="false">
      <c r="A188" s="5" t="n">
        <v>171</v>
      </c>
      <c r="B188" s="6" t="s">
        <v>853</v>
      </c>
      <c r="C188" s="7" t="s">
        <v>854</v>
      </c>
      <c r="D188" s="7" t="s">
        <v>855</v>
      </c>
      <c r="E188" s="7" t="s">
        <v>856</v>
      </c>
      <c r="F188" s="15" t="s">
        <v>458</v>
      </c>
      <c r="G188" s="9" t="s">
        <v>857</v>
      </c>
      <c r="H188" s="5" t="s">
        <v>827</v>
      </c>
    </row>
    <row r="189" customFormat="false" ht="30" hidden="false" customHeight="true" outlineLevel="0" collapsed="false">
      <c r="A189" s="5" t="n">
        <v>172</v>
      </c>
      <c r="B189" s="6" t="s">
        <v>858</v>
      </c>
      <c r="C189" s="7" t="s">
        <v>859</v>
      </c>
      <c r="D189" s="7" t="s">
        <v>860</v>
      </c>
      <c r="E189" s="7" t="s">
        <v>861</v>
      </c>
      <c r="F189" s="8" t="s">
        <v>15</v>
      </c>
      <c r="G189" s="9" t="s">
        <v>862</v>
      </c>
      <c r="H189" s="5" t="s">
        <v>827</v>
      </c>
    </row>
    <row r="190" customFormat="false" ht="30" hidden="false" customHeight="true" outlineLevel="0" collapsed="false">
      <c r="A190" s="5" t="n">
        <v>173</v>
      </c>
      <c r="B190" s="6" t="s">
        <v>863</v>
      </c>
      <c r="C190" s="7" t="s">
        <v>864</v>
      </c>
      <c r="D190" s="7" t="s">
        <v>865</v>
      </c>
      <c r="E190" s="7" t="s">
        <v>866</v>
      </c>
      <c r="F190" s="15" t="s">
        <v>458</v>
      </c>
      <c r="G190" s="9" t="s">
        <v>867</v>
      </c>
      <c r="H190" s="5" t="s">
        <v>827</v>
      </c>
    </row>
    <row r="191" customFormat="false" ht="30" hidden="false" customHeight="true" outlineLevel="0" collapsed="false">
      <c r="A191" s="5" t="n">
        <v>174</v>
      </c>
      <c r="B191" s="6" t="s">
        <v>868</v>
      </c>
      <c r="C191" s="7" t="s">
        <v>869</v>
      </c>
      <c r="D191" s="7" t="s">
        <v>870</v>
      </c>
      <c r="E191" s="7" t="s">
        <v>871</v>
      </c>
      <c r="F191" s="8" t="s">
        <v>15</v>
      </c>
      <c r="G191" s="9" t="s">
        <v>837</v>
      </c>
      <c r="H191" s="5" t="s">
        <v>827</v>
      </c>
    </row>
    <row r="192" customFormat="false" ht="21.75" hidden="false" customHeight="true" outlineLevel="0" collapsed="false">
      <c r="A192" s="4" t="s">
        <v>872</v>
      </c>
      <c r="B192" s="4"/>
      <c r="C192" s="4"/>
      <c r="D192" s="4"/>
      <c r="E192" s="4"/>
      <c r="F192" s="4"/>
      <c r="G192" s="4"/>
      <c r="H192" s="4"/>
    </row>
    <row r="193" customFormat="false" ht="30" hidden="false" customHeight="true" outlineLevel="0" collapsed="false">
      <c r="A193" s="5" t="n">
        <v>175</v>
      </c>
      <c r="B193" s="6" t="s">
        <v>873</v>
      </c>
      <c r="C193" s="7" t="s">
        <v>874</v>
      </c>
      <c r="D193" s="7" t="s">
        <v>875</v>
      </c>
      <c r="E193" s="7" t="s">
        <v>876</v>
      </c>
      <c r="F193" s="8" t="s">
        <v>15</v>
      </c>
      <c r="G193" s="9" t="s">
        <v>877</v>
      </c>
      <c r="H193" s="5" t="s">
        <v>878</v>
      </c>
    </row>
    <row r="194" customFormat="false" ht="30" hidden="false" customHeight="true" outlineLevel="0" collapsed="false">
      <c r="A194" s="5" t="n">
        <v>176</v>
      </c>
      <c r="B194" s="6" t="s">
        <v>879</v>
      </c>
      <c r="C194" s="7" t="s">
        <v>880</v>
      </c>
      <c r="D194" s="7" t="s">
        <v>881</v>
      </c>
      <c r="E194" s="7" t="s">
        <v>882</v>
      </c>
      <c r="F194" s="8" t="s">
        <v>15</v>
      </c>
      <c r="G194" s="9" t="s">
        <v>883</v>
      </c>
      <c r="H194" s="5" t="s">
        <v>878</v>
      </c>
    </row>
    <row r="195" customFormat="false" ht="30" hidden="false" customHeight="true" outlineLevel="0" collapsed="false">
      <c r="A195" s="5" t="n">
        <v>177</v>
      </c>
      <c r="B195" s="6" t="s">
        <v>884</v>
      </c>
      <c r="C195" s="7" t="s">
        <v>885</v>
      </c>
      <c r="D195" s="7" t="s">
        <v>886</v>
      </c>
      <c r="E195" s="7" t="s">
        <v>887</v>
      </c>
      <c r="F195" s="15" t="s">
        <v>458</v>
      </c>
      <c r="G195" s="9" t="s">
        <v>888</v>
      </c>
      <c r="H195" s="5" t="s">
        <v>878</v>
      </c>
    </row>
    <row r="196" customFormat="false" ht="30" hidden="false" customHeight="true" outlineLevel="0" collapsed="false">
      <c r="A196" s="5" t="n">
        <v>178</v>
      </c>
      <c r="B196" s="6" t="s">
        <v>889</v>
      </c>
      <c r="C196" s="7" t="s">
        <v>890</v>
      </c>
      <c r="D196" s="7" t="s">
        <v>891</v>
      </c>
      <c r="E196" s="7" t="s">
        <v>892</v>
      </c>
      <c r="F196" s="13" t="s">
        <v>64</v>
      </c>
      <c r="G196" s="9" t="s">
        <v>893</v>
      </c>
      <c r="H196" s="5" t="s">
        <v>878</v>
      </c>
    </row>
    <row r="197" customFormat="false" ht="30" hidden="false" customHeight="true" outlineLevel="0" collapsed="false">
      <c r="A197" s="5" t="n">
        <v>179</v>
      </c>
      <c r="B197" s="6" t="s">
        <v>894</v>
      </c>
      <c r="C197" s="7" t="s">
        <v>895</v>
      </c>
      <c r="D197" s="7" t="s">
        <v>896</v>
      </c>
      <c r="E197" s="7" t="s">
        <v>897</v>
      </c>
      <c r="F197" s="11" t="s">
        <v>48</v>
      </c>
      <c r="G197" s="9" t="s">
        <v>898</v>
      </c>
      <c r="H197" s="5" t="s">
        <v>878</v>
      </c>
    </row>
    <row r="198" customFormat="false" ht="30" hidden="false" customHeight="true" outlineLevel="0" collapsed="false">
      <c r="A198" s="5" t="n">
        <v>180</v>
      </c>
      <c r="B198" s="6" t="s">
        <v>899</v>
      </c>
      <c r="C198" s="7" t="s">
        <v>900</v>
      </c>
      <c r="D198" s="7" t="s">
        <v>901</v>
      </c>
      <c r="E198" s="7" t="s">
        <v>902</v>
      </c>
      <c r="F198" s="15" t="s">
        <v>458</v>
      </c>
      <c r="G198" s="9" t="s">
        <v>903</v>
      </c>
      <c r="H198" s="5" t="s">
        <v>878</v>
      </c>
    </row>
    <row r="199" customFormat="false" ht="21.75" hidden="false" customHeight="true" outlineLevel="0" collapsed="false">
      <c r="A199" s="4" t="s">
        <v>904</v>
      </c>
      <c r="B199" s="4"/>
      <c r="C199" s="4"/>
      <c r="D199" s="4"/>
      <c r="E199" s="4"/>
      <c r="F199" s="4"/>
      <c r="G199" s="4"/>
      <c r="H199" s="4"/>
    </row>
    <row r="200" customFormat="false" ht="30" hidden="false" customHeight="true" outlineLevel="0" collapsed="false">
      <c r="A200" s="5" t="n">
        <v>181</v>
      </c>
      <c r="B200" s="6" t="s">
        <v>905</v>
      </c>
      <c r="C200" s="7" t="s">
        <v>906</v>
      </c>
      <c r="D200" s="7" t="s">
        <v>907</v>
      </c>
      <c r="E200" s="7" t="s">
        <v>908</v>
      </c>
      <c r="F200" s="12" t="s">
        <v>57</v>
      </c>
      <c r="G200" s="9" t="s">
        <v>909</v>
      </c>
      <c r="H200" s="5" t="s">
        <v>910</v>
      </c>
    </row>
    <row r="201" customFormat="false" ht="30" hidden="false" customHeight="true" outlineLevel="0" collapsed="false">
      <c r="A201" s="5" t="n">
        <v>182</v>
      </c>
      <c r="B201" s="6" t="s">
        <v>911</v>
      </c>
      <c r="C201" s="7" t="s">
        <v>912</v>
      </c>
      <c r="D201" s="7" t="s">
        <v>913</v>
      </c>
      <c r="E201" s="7" t="s">
        <v>914</v>
      </c>
      <c r="F201" s="14" t="s">
        <v>90</v>
      </c>
      <c r="G201" s="9" t="s">
        <v>915</v>
      </c>
      <c r="H201" s="5" t="s">
        <v>910</v>
      </c>
    </row>
    <row r="202" customFormat="false" ht="30" hidden="false" customHeight="true" outlineLevel="0" collapsed="false">
      <c r="A202" s="5" t="n">
        <v>183</v>
      </c>
      <c r="B202" s="6" t="s">
        <v>916</v>
      </c>
      <c r="C202" s="7" t="s">
        <v>917</v>
      </c>
      <c r="D202" s="7" t="s">
        <v>918</v>
      </c>
      <c r="E202" s="7" t="s">
        <v>919</v>
      </c>
      <c r="F202" s="14" t="s">
        <v>90</v>
      </c>
      <c r="G202" s="9" t="s">
        <v>920</v>
      </c>
      <c r="H202" s="5" t="s">
        <v>910</v>
      </c>
    </row>
    <row r="203" customFormat="false" ht="30" hidden="false" customHeight="true" outlineLevel="0" collapsed="false">
      <c r="A203" s="5" t="n">
        <v>184</v>
      </c>
      <c r="B203" s="6" t="s">
        <v>921</v>
      </c>
      <c r="C203" s="7" t="s">
        <v>922</v>
      </c>
      <c r="D203" s="7" t="s">
        <v>923</v>
      </c>
      <c r="E203" s="7" t="s">
        <v>924</v>
      </c>
      <c r="F203" s="14" t="s">
        <v>90</v>
      </c>
      <c r="G203" s="9" t="s">
        <v>698</v>
      </c>
      <c r="H203" s="5" t="s">
        <v>910</v>
      </c>
    </row>
    <row r="204" customFormat="false" ht="30" hidden="false" customHeight="true" outlineLevel="0" collapsed="false">
      <c r="A204" s="5" t="n">
        <v>185</v>
      </c>
      <c r="B204" s="6" t="s">
        <v>925</v>
      </c>
      <c r="C204" s="7" t="s">
        <v>926</v>
      </c>
      <c r="D204" s="7" t="s">
        <v>927</v>
      </c>
      <c r="E204" s="7" t="s">
        <v>928</v>
      </c>
      <c r="F204" s="14" t="s">
        <v>90</v>
      </c>
      <c r="G204" s="9" t="s">
        <v>929</v>
      </c>
      <c r="H204" s="5" t="s">
        <v>910</v>
      </c>
    </row>
    <row r="205" customFormat="false" ht="30" hidden="false" customHeight="true" outlineLevel="0" collapsed="false">
      <c r="A205" s="5" t="n">
        <v>186</v>
      </c>
      <c r="B205" s="6" t="s">
        <v>930</v>
      </c>
      <c r="C205" s="7" t="s">
        <v>931</v>
      </c>
      <c r="D205" s="7" t="s">
        <v>932</v>
      </c>
      <c r="E205" s="7" t="s">
        <v>933</v>
      </c>
      <c r="F205" s="12" t="s">
        <v>57</v>
      </c>
      <c r="G205" s="9" t="s">
        <v>934</v>
      </c>
      <c r="H205" s="5" t="s">
        <v>910</v>
      </c>
    </row>
    <row r="206" customFormat="false" ht="30" hidden="false" customHeight="true" outlineLevel="0" collapsed="false">
      <c r="A206" s="5" t="n">
        <v>187</v>
      </c>
      <c r="B206" s="6" t="s">
        <v>935</v>
      </c>
      <c r="C206" s="7" t="s">
        <v>936</v>
      </c>
      <c r="D206" s="7" t="s">
        <v>937</v>
      </c>
      <c r="E206" s="7" t="s">
        <v>938</v>
      </c>
      <c r="F206" s="12" t="s">
        <v>57</v>
      </c>
      <c r="G206" s="9" t="s">
        <v>939</v>
      </c>
      <c r="H206" s="5" t="s">
        <v>910</v>
      </c>
    </row>
    <row r="207" customFormat="false" ht="21.75" hidden="false" customHeight="true" outlineLevel="0" collapsed="false">
      <c r="A207" s="4" t="s">
        <v>940</v>
      </c>
      <c r="B207" s="4"/>
      <c r="C207" s="4"/>
      <c r="D207" s="4"/>
      <c r="E207" s="4"/>
      <c r="F207" s="4"/>
      <c r="G207" s="4"/>
      <c r="H207" s="4"/>
    </row>
    <row r="208" customFormat="false" ht="30" hidden="false" customHeight="true" outlineLevel="0" collapsed="false">
      <c r="A208" s="5" t="n">
        <v>188</v>
      </c>
      <c r="B208" s="6" t="s">
        <v>941</v>
      </c>
      <c r="C208" s="7" t="s">
        <v>942</v>
      </c>
      <c r="D208" s="7" t="s">
        <v>943</v>
      </c>
      <c r="E208" s="7" t="s">
        <v>944</v>
      </c>
      <c r="F208" s="16" t="s">
        <v>814</v>
      </c>
      <c r="G208" s="9" t="s">
        <v>945</v>
      </c>
      <c r="H208" s="5" t="s">
        <v>946</v>
      </c>
    </row>
    <row r="209" customFormat="false" ht="30" hidden="false" customHeight="true" outlineLevel="0" collapsed="false">
      <c r="A209" s="5" t="n">
        <v>189</v>
      </c>
      <c r="B209" s="6" t="s">
        <v>947</v>
      </c>
      <c r="C209" s="7" t="s">
        <v>948</v>
      </c>
      <c r="D209" s="7" t="s">
        <v>949</v>
      </c>
      <c r="E209" s="7" t="s">
        <v>950</v>
      </c>
      <c r="F209" s="16" t="s">
        <v>814</v>
      </c>
      <c r="G209" s="9" t="s">
        <v>951</v>
      </c>
      <c r="H209" s="5" t="s">
        <v>946</v>
      </c>
    </row>
    <row r="210" customFormat="false" ht="30" hidden="false" customHeight="true" outlineLevel="0" collapsed="false">
      <c r="A210" s="5" t="n">
        <v>190</v>
      </c>
      <c r="B210" s="6" t="s">
        <v>952</v>
      </c>
      <c r="C210" s="7" t="s">
        <v>953</v>
      </c>
      <c r="D210" s="7" t="s">
        <v>954</v>
      </c>
      <c r="E210" s="7" t="s">
        <v>955</v>
      </c>
      <c r="F210" s="16" t="s">
        <v>814</v>
      </c>
      <c r="G210" s="9" t="s">
        <v>956</v>
      </c>
      <c r="H210" s="5" t="s">
        <v>946</v>
      </c>
    </row>
    <row r="211" customFormat="false" ht="30" hidden="false" customHeight="true" outlineLevel="0" collapsed="false">
      <c r="A211" s="5" t="n">
        <v>191</v>
      </c>
      <c r="B211" s="6" t="s">
        <v>957</v>
      </c>
      <c r="C211" s="7" t="s">
        <v>958</v>
      </c>
      <c r="D211" s="7" t="s">
        <v>959</v>
      </c>
      <c r="E211" s="7" t="s">
        <v>950</v>
      </c>
      <c r="F211" s="16" t="s">
        <v>814</v>
      </c>
      <c r="G211" s="9" t="s">
        <v>960</v>
      </c>
      <c r="H211" s="5" t="s">
        <v>946</v>
      </c>
    </row>
    <row r="212" customFormat="false" ht="30" hidden="false" customHeight="true" outlineLevel="0" collapsed="false">
      <c r="A212" s="5" t="n">
        <v>192</v>
      </c>
      <c r="B212" s="6" t="s">
        <v>961</v>
      </c>
      <c r="C212" s="7" t="s">
        <v>962</v>
      </c>
      <c r="D212" s="7" t="s">
        <v>963</v>
      </c>
      <c r="E212" s="7" t="s">
        <v>964</v>
      </c>
      <c r="F212" s="16" t="s">
        <v>814</v>
      </c>
      <c r="G212" s="9" t="s">
        <v>965</v>
      </c>
      <c r="H212" s="5" t="s">
        <v>946</v>
      </c>
    </row>
    <row r="213" customFormat="false" ht="30" hidden="false" customHeight="true" outlineLevel="0" collapsed="false">
      <c r="A213" s="5" t="n">
        <v>193</v>
      </c>
      <c r="B213" s="6" t="s">
        <v>966</v>
      </c>
      <c r="C213" s="7" t="s">
        <v>967</v>
      </c>
      <c r="D213" s="7" t="s">
        <v>968</v>
      </c>
      <c r="E213" s="7" t="s">
        <v>969</v>
      </c>
      <c r="F213" s="16" t="s">
        <v>814</v>
      </c>
      <c r="G213" s="9" t="s">
        <v>970</v>
      </c>
      <c r="H213" s="5" t="s">
        <v>946</v>
      </c>
    </row>
    <row r="214" customFormat="false" ht="30" hidden="false" customHeight="true" outlineLevel="0" collapsed="false">
      <c r="A214" s="5" t="n">
        <v>194</v>
      </c>
      <c r="B214" s="6" t="s">
        <v>971</v>
      </c>
      <c r="C214" s="7" t="s">
        <v>972</v>
      </c>
      <c r="D214" s="7" t="s">
        <v>973</v>
      </c>
      <c r="E214" s="7" t="s">
        <v>974</v>
      </c>
      <c r="F214" s="16" t="s">
        <v>814</v>
      </c>
      <c r="G214" s="9" t="s">
        <v>975</v>
      </c>
      <c r="H214" s="5" t="s">
        <v>946</v>
      </c>
    </row>
    <row r="215" customFormat="false" ht="30" hidden="false" customHeight="true" outlineLevel="0" collapsed="false">
      <c r="A215" s="5" t="n">
        <v>195</v>
      </c>
      <c r="B215" s="6" t="s">
        <v>976</v>
      </c>
      <c r="C215" s="7" t="s">
        <v>977</v>
      </c>
      <c r="D215" s="7" t="s">
        <v>978</v>
      </c>
      <c r="E215" s="7" t="s">
        <v>979</v>
      </c>
      <c r="F215" s="12" t="s">
        <v>57</v>
      </c>
      <c r="G215" s="9" t="s">
        <v>980</v>
      </c>
      <c r="H215" s="5" t="s">
        <v>946</v>
      </c>
    </row>
    <row r="216" customFormat="false" ht="30" hidden="false" customHeight="true" outlineLevel="0" collapsed="false">
      <c r="A216" s="5" t="n">
        <v>196</v>
      </c>
      <c r="B216" s="6" t="s">
        <v>981</v>
      </c>
      <c r="C216" s="7" t="s">
        <v>982</v>
      </c>
      <c r="D216" s="7" t="s">
        <v>983</v>
      </c>
      <c r="E216" s="7" t="s">
        <v>984</v>
      </c>
      <c r="F216" s="12" t="s">
        <v>57</v>
      </c>
      <c r="G216" s="9" t="s">
        <v>985</v>
      </c>
      <c r="H216" s="5" t="s">
        <v>946</v>
      </c>
    </row>
    <row r="217" customFormat="false" ht="30" hidden="false" customHeight="true" outlineLevel="0" collapsed="false">
      <c r="A217" s="5" t="n">
        <v>197</v>
      </c>
      <c r="B217" s="6" t="s">
        <v>986</v>
      </c>
      <c r="C217" s="7" t="s">
        <v>987</v>
      </c>
      <c r="D217" s="7" t="s">
        <v>988</v>
      </c>
      <c r="E217" s="7" t="s">
        <v>989</v>
      </c>
      <c r="F217" s="16" t="s">
        <v>814</v>
      </c>
      <c r="G217" s="9" t="s">
        <v>990</v>
      </c>
      <c r="H217" s="5" t="s">
        <v>946</v>
      </c>
    </row>
    <row r="218" customFormat="false" ht="21.75" hidden="false" customHeight="true" outlineLevel="0" collapsed="false">
      <c r="A218" s="4" t="s">
        <v>991</v>
      </c>
      <c r="B218" s="4"/>
      <c r="C218" s="4"/>
      <c r="D218" s="4"/>
      <c r="E218" s="4"/>
      <c r="F218" s="4"/>
      <c r="G218" s="4"/>
      <c r="H218" s="4"/>
    </row>
    <row r="219" customFormat="false" ht="30" hidden="false" customHeight="true" outlineLevel="0" collapsed="false">
      <c r="A219" s="5" t="n">
        <v>198</v>
      </c>
      <c r="B219" s="6" t="s">
        <v>992</v>
      </c>
      <c r="C219" s="7" t="s">
        <v>993</v>
      </c>
      <c r="D219" s="7" t="s">
        <v>994</v>
      </c>
      <c r="E219" s="7" t="s">
        <v>995</v>
      </c>
      <c r="F219" s="16" t="s">
        <v>814</v>
      </c>
      <c r="G219" s="9" t="s">
        <v>996</v>
      </c>
      <c r="H219" s="5" t="s">
        <v>997</v>
      </c>
    </row>
    <row r="220" customFormat="false" ht="30" hidden="false" customHeight="true" outlineLevel="0" collapsed="false">
      <c r="A220" s="5" t="n">
        <v>199</v>
      </c>
      <c r="B220" s="6" t="s">
        <v>998</v>
      </c>
      <c r="C220" s="7" t="s">
        <v>999</v>
      </c>
      <c r="D220" s="7" t="s">
        <v>1000</v>
      </c>
      <c r="E220" s="7" t="s">
        <v>1001</v>
      </c>
      <c r="F220" s="16" t="s">
        <v>814</v>
      </c>
      <c r="G220" s="9" t="s">
        <v>1002</v>
      </c>
      <c r="H220" s="5" t="s">
        <v>997</v>
      </c>
    </row>
    <row r="221" customFormat="false" ht="30" hidden="false" customHeight="true" outlineLevel="0" collapsed="false">
      <c r="A221" s="5" t="n">
        <v>200</v>
      </c>
      <c r="B221" s="6" t="s">
        <v>1003</v>
      </c>
      <c r="C221" s="7" t="s">
        <v>1004</v>
      </c>
      <c r="D221" s="7" t="s">
        <v>1001</v>
      </c>
      <c r="E221" s="7" t="s">
        <v>1005</v>
      </c>
      <c r="F221" s="16" t="s">
        <v>814</v>
      </c>
      <c r="G221" s="9" t="s">
        <v>1006</v>
      </c>
      <c r="H221" s="5" t="s">
        <v>997</v>
      </c>
    </row>
    <row r="222" customFormat="false" ht="30" hidden="false" customHeight="true" outlineLevel="0" collapsed="false">
      <c r="A222" s="5" t="n">
        <v>201</v>
      </c>
      <c r="B222" s="6" t="s">
        <v>1007</v>
      </c>
      <c r="C222" s="7" t="s">
        <v>1008</v>
      </c>
      <c r="D222" s="7" t="s">
        <v>544</v>
      </c>
      <c r="E222" s="7" t="s">
        <v>1009</v>
      </c>
      <c r="F222" s="16" t="s">
        <v>814</v>
      </c>
      <c r="G222" s="9" t="s">
        <v>1010</v>
      </c>
      <c r="H222" s="5" t="s">
        <v>997</v>
      </c>
    </row>
    <row r="223" customFormat="false" ht="30" hidden="false" customHeight="true" outlineLevel="0" collapsed="false">
      <c r="A223" s="5" t="n">
        <v>202</v>
      </c>
      <c r="B223" s="6" t="s">
        <v>1011</v>
      </c>
      <c r="C223" s="7" t="s">
        <v>1012</v>
      </c>
      <c r="D223" s="7" t="s">
        <v>1013</v>
      </c>
      <c r="E223" s="7" t="s">
        <v>1014</v>
      </c>
      <c r="F223" s="16" t="s">
        <v>814</v>
      </c>
      <c r="G223" s="9" t="s">
        <v>1015</v>
      </c>
      <c r="H223" s="5" t="s">
        <v>997</v>
      </c>
    </row>
    <row r="224" customFormat="false" ht="30" hidden="false" customHeight="true" outlineLevel="0" collapsed="false">
      <c r="A224" s="5" t="n">
        <v>203</v>
      </c>
      <c r="B224" s="6" t="s">
        <v>1016</v>
      </c>
      <c r="C224" s="7" t="s">
        <v>1017</v>
      </c>
      <c r="D224" s="7" t="s">
        <v>988</v>
      </c>
      <c r="E224" s="7" t="s">
        <v>1018</v>
      </c>
      <c r="F224" s="16" t="s">
        <v>814</v>
      </c>
      <c r="G224" s="9" t="s">
        <v>1019</v>
      </c>
      <c r="H224" s="5" t="s">
        <v>997</v>
      </c>
    </row>
  </sheetData>
  <mergeCells count="18">
    <mergeCell ref="A1:H1"/>
    <mergeCell ref="A2:H2"/>
    <mergeCell ref="A6:H6"/>
    <mergeCell ref="A16:H16"/>
    <mergeCell ref="A24:H24"/>
    <mergeCell ref="A53:H53"/>
    <mergeCell ref="A65:H65"/>
    <mergeCell ref="A83:H83"/>
    <mergeCell ref="A102:H102"/>
    <mergeCell ref="A116:H116"/>
    <mergeCell ref="A134:H134"/>
    <mergeCell ref="A148:H148"/>
    <mergeCell ref="A165:H165"/>
    <mergeCell ref="A181:H181"/>
    <mergeCell ref="A192:H192"/>
    <mergeCell ref="A199:H199"/>
    <mergeCell ref="A207:H207"/>
    <mergeCell ref="A218:H2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45"/>
  </cols>
  <sheetData>
    <row r="1" customFormat="false" ht="27.75" hidden="false" customHeight="true" outlineLevel="0" collapsed="false">
      <c r="A1" s="1" t="s">
        <v>1020</v>
      </c>
      <c r="B1" s="1"/>
      <c r="C1" s="1"/>
    </row>
    <row r="3" customFormat="false" ht="15" hidden="false" customHeight="false" outlineLevel="0" collapsed="false">
      <c r="A3" s="3" t="s">
        <v>1021</v>
      </c>
      <c r="B3" s="3" t="s">
        <v>1022</v>
      </c>
      <c r="C3" s="3" t="s">
        <v>1023</v>
      </c>
    </row>
    <row r="4" customFormat="false" ht="15" hidden="false" customHeight="false" outlineLevel="0" collapsed="false">
      <c r="A4" s="17" t="s">
        <v>1024</v>
      </c>
      <c r="B4" s="5" t="n">
        <f aca="false">COUNTA(Operations!B6:B225)-COUNTIF(Operations!F6:F225,"")</f>
        <v>186</v>
      </c>
      <c r="C4" s="18" t="s">
        <v>1025</v>
      </c>
    </row>
    <row r="5" customFormat="false" ht="15" hidden="false" customHeight="false" outlineLevel="0" collapsed="false">
      <c r="A5" s="19"/>
      <c r="B5" s="20"/>
      <c r="C5" s="2"/>
    </row>
    <row r="6" customFormat="false" ht="15" hidden="false" customHeight="false" outlineLevel="0" collapsed="false">
      <c r="A6" s="17" t="s">
        <v>1026</v>
      </c>
      <c r="B6" s="5" t="n">
        <f aca="false">COUNTIFS(Operations!H6:H225,"LiDAR",Operations!B6:B225,"*blind*")+COUNTIFS(Operations!H6:H225,"LiDAR",Operations!B6:B225,"*shadow*")+COUNTIFS(Operations!H6:H225,"LiDAR",Operations!B6:B225,"*gap*")+COUNTIFS(Operations!H6:H225,"LiDAR",Operations!B6:B225,"*coverage*")+COUNTIFS(Operations!H6:H225,"LiDAR",Operations!B6:B225,"*artifact*")+COUNTIFS(Operations!H6:H225,"LiDAR",Operations!B6:B225,"*supplement*")</f>
        <v>6</v>
      </c>
      <c r="C6" s="18" t="s">
        <v>1027</v>
      </c>
    </row>
    <row r="7" customFormat="false" ht="15" hidden="false" customHeight="false" outlineLevel="0" collapsed="false">
      <c r="A7" s="17" t="s">
        <v>97</v>
      </c>
      <c r="B7" s="5" t="n">
        <f aca="false">COUNTIFS(Operations!H6:H225,"LiDAR")-5</f>
        <v>39</v>
      </c>
      <c r="C7" s="18" t="s">
        <v>1028</v>
      </c>
    </row>
    <row r="8" customFormat="false" ht="15" hidden="false" customHeight="false" outlineLevel="0" collapsed="false">
      <c r="A8" s="17" t="s">
        <v>286</v>
      </c>
      <c r="B8" s="5" t="n">
        <f aca="false">COUNTIFS(Operations!H6:H225,"Satellite")</f>
        <v>28</v>
      </c>
      <c r="C8" s="18" t="s">
        <v>1029</v>
      </c>
    </row>
    <row r="9" customFormat="false" ht="15" hidden="false" customHeight="false" outlineLevel="0" collapsed="false">
      <c r="A9" s="17" t="s">
        <v>1030</v>
      </c>
      <c r="B9" s="5" t="n">
        <f aca="false">COUNTIFS(Operations!H6:H225,"Street-View")</f>
        <v>18</v>
      </c>
      <c r="C9" s="18" t="s">
        <v>1031</v>
      </c>
    </row>
    <row r="10" customFormat="false" ht="15" hidden="false" customHeight="false" outlineLevel="0" collapsed="false">
      <c r="A10" s="17" t="s">
        <v>1032</v>
      </c>
      <c r="B10" s="5" t="n">
        <f aca="false">COUNTIFS(Operations!H6:H225,"I-JEPA")</f>
        <v>13</v>
      </c>
      <c r="C10" s="18" t="s">
        <v>1033</v>
      </c>
    </row>
    <row r="11" customFormat="false" ht="15" hidden="false" customHeight="false" outlineLevel="0" collapsed="false">
      <c r="A11" s="17" t="s">
        <v>1034</v>
      </c>
      <c r="B11" s="5" t="n">
        <f aca="false">COUNTIFS(Operations!H6:H225,"Terrain")</f>
        <v>17</v>
      </c>
      <c r="C11" s="18" t="s">
        <v>1035</v>
      </c>
    </row>
    <row r="12" customFormat="false" ht="15" hidden="false" customHeight="false" outlineLevel="0" collapsed="false">
      <c r="A12" s="17" t="s">
        <v>1036</v>
      </c>
      <c r="B12" s="5" t="n">
        <f aca="false">COUNTIFS(Operations!H6:H225,"Vegetation")</f>
        <v>13</v>
      </c>
      <c r="C12" s="18" t="s">
        <v>1037</v>
      </c>
    </row>
    <row r="13" customFormat="false" ht="15" hidden="false" customHeight="false" outlineLevel="0" collapsed="false">
      <c r="A13" s="17" t="s">
        <v>1038</v>
      </c>
      <c r="B13" s="5" t="n">
        <f aca="false">COUNTIFS(Operations!H6:H225,"Building")</f>
        <v>16</v>
      </c>
      <c r="C13" s="18" t="s">
        <v>1039</v>
      </c>
    </row>
    <row r="14" customFormat="false" ht="15" hidden="false" customHeight="false" outlineLevel="0" collapsed="false">
      <c r="A14" s="17" t="s">
        <v>1040</v>
      </c>
      <c r="B14" s="5" t="n">
        <f aca="false">COUNTIFS(Operations!H6:H225,"Road")</f>
        <v>15</v>
      </c>
      <c r="C14" s="18" t="s">
        <v>1041</v>
      </c>
    </row>
    <row r="15" customFormat="false" ht="15" hidden="false" customHeight="false" outlineLevel="0" collapsed="false">
      <c r="A15" s="17" t="s">
        <v>1042</v>
      </c>
      <c r="B15" s="5" t="n">
        <f aca="false">COUNTIFS(Operations!H6:H225,"Infra")</f>
        <v>10</v>
      </c>
      <c r="C15" s="18" t="s">
        <v>1043</v>
      </c>
    </row>
    <row r="16" customFormat="false" ht="15" hidden="false" customHeight="false" outlineLevel="0" collapsed="false">
      <c r="A16" s="17" t="s">
        <v>878</v>
      </c>
      <c r="B16" s="5" t="n">
        <f aca="false">COUNTIFS(Operations!H6:H225,"Population")</f>
        <v>6</v>
      </c>
      <c r="C16" s="18" t="s">
        <v>1044</v>
      </c>
    </row>
    <row r="17" customFormat="false" ht="15" hidden="false" customHeight="false" outlineLevel="0" collapsed="false">
      <c r="A17" s="17" t="s">
        <v>1045</v>
      </c>
      <c r="B17" s="5" t="n">
        <f aca="false">COUNTIFS(Operations!H6:H225,"Fusion")</f>
        <v>7</v>
      </c>
      <c r="C17" s="18" t="s">
        <v>1046</v>
      </c>
    </row>
    <row r="18" customFormat="false" ht="15" hidden="false" customHeight="false" outlineLevel="0" collapsed="false">
      <c r="A18" s="17" t="s">
        <v>1047</v>
      </c>
      <c r="B18" s="5" t="n">
        <f aca="false">COUNTIFS(Operations!H6:H225,"Twin")</f>
        <v>10</v>
      </c>
      <c r="C18" s="18" t="s">
        <v>1048</v>
      </c>
    </row>
    <row r="19" customFormat="false" ht="15" hidden="false" customHeight="false" outlineLevel="0" collapsed="false">
      <c r="A19" s="17" t="s">
        <v>1049</v>
      </c>
      <c r="B19" s="5" t="n">
        <f aca="false">COUNTIFS(Operations!H6:H225,"Tile")</f>
        <v>6</v>
      </c>
      <c r="C19" s="18" t="s">
        <v>1050</v>
      </c>
    </row>
    <row r="20" customFormat="false" ht="15" hidden="false" customHeight="false" outlineLevel="0" collapsed="false">
      <c r="A20" s="19"/>
      <c r="B20" s="20"/>
      <c r="C20" s="2"/>
    </row>
    <row r="21" customFormat="false" ht="15" hidden="false" customHeight="false" outlineLevel="0" collapsed="false">
      <c r="A21" s="17" t="s">
        <v>1051</v>
      </c>
      <c r="B21" s="5"/>
      <c r="C21" s="18"/>
    </row>
    <row r="22" customFormat="false" ht="15" hidden="false" customHeight="false" outlineLevel="0" collapsed="false">
      <c r="A22" s="21" t="s">
        <v>1052</v>
      </c>
      <c r="B22" s="5"/>
      <c r="C22" s="18" t="s">
        <v>1053</v>
      </c>
    </row>
    <row r="23" customFormat="false" ht="15" hidden="false" customHeight="false" outlineLevel="0" collapsed="false">
      <c r="A23" s="21" t="s">
        <v>1054</v>
      </c>
      <c r="B23" s="5"/>
      <c r="C23" s="18" t="s">
        <v>1055</v>
      </c>
    </row>
    <row r="24" customFormat="false" ht="15" hidden="false" customHeight="false" outlineLevel="0" collapsed="false">
      <c r="A24" s="21" t="s">
        <v>1056</v>
      </c>
      <c r="B24" s="5"/>
      <c r="C24" s="18" t="s">
        <v>1057</v>
      </c>
    </row>
    <row r="25" customFormat="false" ht="15" hidden="false" customHeight="false" outlineLevel="0" collapsed="false">
      <c r="A25" s="21" t="s">
        <v>1058</v>
      </c>
      <c r="B25" s="5"/>
      <c r="C25" s="18" t="s">
        <v>1059</v>
      </c>
    </row>
    <row r="26" customFormat="false" ht="15" hidden="false" customHeight="false" outlineLevel="0" collapsed="false">
      <c r="A26" s="21" t="s">
        <v>1060</v>
      </c>
      <c r="B26" s="5"/>
      <c r="C26" s="18" t="s">
        <v>1061</v>
      </c>
    </row>
    <row r="27" customFormat="false" ht="15" hidden="false" customHeight="false" outlineLevel="0" collapsed="false">
      <c r="A27" s="21" t="s">
        <v>1062</v>
      </c>
      <c r="B27" s="5"/>
      <c r="C27" s="18" t="s">
        <v>1063</v>
      </c>
    </row>
    <row r="28" customFormat="false" ht="15" hidden="false" customHeight="false" outlineLevel="0" collapsed="false">
      <c r="A28" s="21" t="s">
        <v>1064</v>
      </c>
      <c r="B28" s="5"/>
      <c r="C28" s="18" t="s">
        <v>1065</v>
      </c>
    </row>
    <row r="29" customFormat="false" ht="15" hidden="false" customHeight="false" outlineLevel="0" collapsed="false">
      <c r="A29" s="21" t="s">
        <v>1066</v>
      </c>
      <c r="B29" s="5"/>
      <c r="C29" s="18" t="s">
        <v>1067</v>
      </c>
    </row>
    <row r="30" customFormat="false" ht="15" hidden="false" customHeight="false" outlineLevel="0" collapsed="false">
      <c r="A30" s="21" t="s">
        <v>1068</v>
      </c>
      <c r="B30" s="5"/>
      <c r="C30" s="18" t="s">
        <v>1069</v>
      </c>
    </row>
    <row r="31" customFormat="false" ht="15" hidden="false" customHeight="false" outlineLevel="0" collapsed="false">
      <c r="A31" s="21" t="s">
        <v>1070</v>
      </c>
      <c r="B31" s="5"/>
      <c r="C31" s="18" t="s">
        <v>1071</v>
      </c>
    </row>
    <row r="32" customFormat="false" ht="15" hidden="false" customHeight="false" outlineLevel="0" collapsed="false">
      <c r="A32" s="21" t="s">
        <v>1072</v>
      </c>
      <c r="B32" s="5"/>
      <c r="C32" s="18" t="s">
        <v>1073</v>
      </c>
    </row>
    <row r="33" customFormat="false" ht="15" hidden="false" customHeight="false" outlineLevel="0" collapsed="false">
      <c r="A33" s="21" t="s">
        <v>1074</v>
      </c>
      <c r="B33" s="5"/>
      <c r="C33" s="18" t="s">
        <v>1075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2026-04-07T12:46:16Z</dcterms:created>
  <dc:creator>openpyxl</dc:creator>
  <dc:description/>
  <dc:language>en-US</dc:language>
  <cp:lastModifiedBy/>
  <dcterms:modified xsi:type="dcterms:W3CDTF">2026-04-07T12:46:16Z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